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 Want to Hold Your Hand - melody/chord/word sync</t>
        </is>
      </c>
    </row>
    <row r="2">
      <c r="A2" s="2" t="inlineStr">
        <is>
          <t>Key: G major. One row per sung note. Verses 2-3 repeat the verse rows (score uses repeats/D.S.).</t>
        </is>
      </c>
    </row>
    <row r="3">
      <c r="A3" s="2" t="inlineStr"/>
    </row>
    <row r="4">
      <c r="A4" s="2" t="inlineStr">
        <is>
          <t>NOTE ON SOURCES: this song is a single - it is NOT in the Isophonics/BeatlesFC datasets</t>
        </is>
      </c>
    </row>
    <row r="5">
      <c r="A5" s="2" t="inlineStr">
        <is>
          <t>(those cover the 12 UK albums). Chords are from the Complete Scores; the T/PD/D function</t>
        </is>
      </c>
    </row>
    <row r="6">
      <c r="A6" s="2" t="inlineStr">
        <is>
          <t>labels are manual estimates in Nobile's functional-circuit style, not BeatlesFC data.</t>
        </is>
      </c>
    </row>
    <row r="7">
      <c r="A7" s="2" t="inlineStr">
        <is>
          <t>Melody hand-read from the score at high magnification; rows marked 'approx' in the comment</t>
        </is>
      </c>
    </row>
    <row r="8">
      <c r="A8" s="2" t="inlineStr">
        <is>
          <t>need an ear-check. Vocal sounds an octave below written pitch; semis = semitones above G3.</t>
        </is>
      </c>
    </row>
    <row r="9">
      <c r="A9" s="2" t="inlineStr"/>
    </row>
    <row r="10">
      <c r="A10" s="2" t="inlineStr">
        <is>
          <t>YELLOW column 'word' is yours to fill while listening - one word/syllable per row.</t>
        </is>
      </c>
    </row>
    <row r="11">
      <c r="A11" s="2" t="inlineStr"/>
    </row>
    <row r="12">
      <c r="A12" s="2" t="inlineStr">
        <is>
          <t>THE HARMONY VOICE: this song is a two-voice duet in the hooks and bridge. Where the second</t>
        </is>
      </c>
    </row>
    <row r="13">
      <c r="A13" s="2" t="inlineStr">
        <is>
          <t>voice sings the same syllable, its degree is in harm_degrees with the interval in</t>
        </is>
      </c>
    </row>
    <row r="14">
      <c r="A14" s="2" t="inlineStr">
        <is>
          <t>harm_intervals (e.g. hook: lead 6 with harmony 1-above = the E+G stack; bridge in parallel</t>
        </is>
      </c>
    </row>
    <row r="15">
      <c r="A15" s="2" t="inlineStr">
        <is>
          <t>3rds; the bridge climax stack is a 4th). 'Upper Part 1x Tacet': harmony sits out bridge 1.</t>
        </is>
      </c>
    </row>
    <row r="16">
      <c r="A16" s="2" t="inlineStr"/>
    </row>
    <row r="17">
      <c r="A17" s="2" t="inlineStr">
        <is>
          <t>Column guide: as in AcrossTheUniverse.xlsx (section/phrase/voice/bar/beat/chord/function/</t>
        </is>
      </c>
    </row>
    <row r="18">
      <c r="A18" s="2" t="inlineStr">
        <is>
          <t>degree/note/semis/interval/motion/chord_change/chord_tone/stress/vowel/word/harm/comment).</t>
        </is>
      </c>
    </row>
    <row r="19">
      <c r="A19" s="2" t="inlineStr"/>
    </row>
    <row r="20">
      <c r="A20" s="2" t="inlineStr">
        <is>
          <t>Filter ideas: chord_change=Y -&gt; melody interval at every harmonic move;</t>
        </is>
      </c>
    </row>
    <row r="21">
      <c r="A21" s="2" t="inlineStr">
        <is>
          <t>harm_degrees&lt;&gt;'' -&gt; every two-voice moment; phrase=hook1 -&gt; the leap-and-fall title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5" customWidth="1" min="4" max="4"/>
    <col width="6" customWidth="1" min="5" max="5"/>
    <col width="8" customWidth="1" min="6" max="6"/>
    <col width="11" customWidth="1" min="7" max="7"/>
    <col width="9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0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intro</t>
        </is>
      </c>
      <c r="B2" s="4" t="inlineStr">
        <is>
          <t>pickup</t>
        </is>
      </c>
      <c r="C2" s="4" t="inlineStr">
        <is>
          <t>lead</t>
        </is>
      </c>
      <c r="D2" s="4" t="n">
        <v>4</v>
      </c>
      <c r="E2" s="4" t="n">
        <v>4</v>
      </c>
      <c r="F2" s="4" t="inlineStr">
        <is>
          <t>V7</t>
        </is>
      </c>
      <c r="G2" s="4" t="inlineStr">
        <is>
          <t>D7</t>
        </is>
      </c>
      <c r="H2" s="4" t="inlineStr">
        <is>
          <t>D</t>
        </is>
      </c>
      <c r="I2" s="4" t="inlineStr">
        <is>
          <t>5</t>
        </is>
      </c>
      <c r="J2" s="4" t="inlineStr">
        <is>
          <t>D4</t>
        </is>
      </c>
      <c r="K2" s="4" t="n">
        <v>7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Y</t>
        </is>
      </c>
      <c r="P2" s="5" t="inlineStr">
        <is>
          <t>S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vamp IV-V x3 then V7; vocal pickup into verse (approx pitch)</t>
        </is>
      </c>
    </row>
    <row r="3">
      <c r="A3" s="4" t="inlineStr">
        <is>
          <t>intro</t>
        </is>
      </c>
      <c r="B3" s="4" t="inlineStr">
        <is>
          <t>pickup</t>
        </is>
      </c>
      <c r="C3" s="4" t="inlineStr">
        <is>
          <t>lead</t>
        </is>
      </c>
      <c r="D3" s="4" t="n">
        <v>4</v>
      </c>
      <c r="E3" s="4" t="n">
        <v>4.5</v>
      </c>
      <c r="F3" s="4" t="inlineStr">
        <is>
          <t>V7</t>
        </is>
      </c>
      <c r="G3" s="4" t="inlineStr">
        <is>
          <t>D7</t>
        </is>
      </c>
      <c r="H3" s="4" t="inlineStr">
        <is>
          <t>D</t>
        </is>
      </c>
      <c r="I3" s="4" t="inlineStr">
        <is>
          <t>5</t>
        </is>
      </c>
      <c r="J3" s="4" t="inlineStr">
        <is>
          <t>D4</t>
        </is>
      </c>
      <c r="K3" s="4" t="n">
        <v>7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Y</t>
        </is>
      </c>
      <c r="P3" s="5" t="inlineStr">
        <is>
          <t>S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second pickup note</t>
        </is>
      </c>
    </row>
    <row r="4">
      <c r="A4" s="4" t="inlineStr">
        <is>
          <t>verse</t>
        </is>
      </c>
      <c r="B4" s="4" t="inlineStr">
        <is>
          <t>V1a</t>
        </is>
      </c>
      <c r="C4" s="4" t="inlineStr">
        <is>
          <t>lead</t>
        </is>
      </c>
      <c r="D4" s="4" t="n">
        <v>1</v>
      </c>
      <c r="E4" s="4" t="n">
        <v>2</v>
      </c>
      <c r="F4" s="4" t="inlineStr">
        <is>
          <t>I</t>
        </is>
      </c>
      <c r="G4" s="4" t="inlineStr">
        <is>
          <t>G</t>
        </is>
      </c>
      <c r="H4" s="4" t="inlineStr">
        <is>
          <t>T</t>
        </is>
      </c>
      <c r="I4" s="4" t="inlineStr">
        <is>
          <t>4</t>
        </is>
      </c>
      <c r="J4" s="4" t="inlineStr">
        <is>
          <t>C4</t>
        </is>
      </c>
      <c r="K4" s="4" t="n">
        <v>5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N</t>
        </is>
      </c>
      <c r="P4" s="5" t="inlineStr">
        <is>
          <t>S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two-note fall on the opening word (slur 4-3)</t>
        </is>
      </c>
    </row>
    <row r="5">
      <c r="A5" s="4" t="inlineStr">
        <is>
          <t>verse</t>
        </is>
      </c>
      <c r="B5" s="4" t="inlineStr">
        <is>
          <t>V1a</t>
        </is>
      </c>
      <c r="C5" s="4" t="inlineStr">
        <is>
          <t>lead</t>
        </is>
      </c>
      <c r="D5" s="4" t="n">
        <v>1</v>
      </c>
      <c r="E5" s="4" t="n">
        <v>2.5</v>
      </c>
      <c r="F5" s="4" t="inlineStr">
        <is>
          <t>I</t>
        </is>
      </c>
      <c r="G5" s="4" t="inlineStr">
        <is>
          <t>G</t>
        </is>
      </c>
      <c r="H5" s="4" t="inlineStr">
        <is>
          <t>T</t>
        </is>
      </c>
      <c r="I5" s="4" t="inlineStr">
        <is>
          <t>3</t>
        </is>
      </c>
      <c r="J5" s="4" t="inlineStr">
        <is>
          <t>B3</t>
        </is>
      </c>
      <c r="K5" s="4" t="n">
        <v>4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Y</t>
        </is>
      </c>
      <c r="P5" s="5" t="inlineStr">
        <is>
          <t>u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slur target, dotted</t>
        </is>
      </c>
    </row>
    <row r="6">
      <c r="A6" s="4" t="inlineStr">
        <is>
          <t>verse</t>
        </is>
      </c>
      <c r="B6" s="4" t="inlineStr">
        <is>
          <t>V1a</t>
        </is>
      </c>
      <c r="C6" s="4" t="inlineStr">
        <is>
          <t>lead</t>
        </is>
      </c>
      <c r="D6" s="4" t="n">
        <v>1</v>
      </c>
      <c r="E6" s="4" t="n">
        <v>4</v>
      </c>
      <c r="F6" s="4" t="inlineStr">
        <is>
          <t>I</t>
        </is>
      </c>
      <c r="G6" s="4" t="inlineStr">
        <is>
          <t>G</t>
        </is>
      </c>
      <c r="H6" s="4" t="inlineStr">
        <is>
          <t>T</t>
        </is>
      </c>
      <c r="I6" s="4" t="inlineStr">
        <is>
          <t>3</t>
        </is>
      </c>
      <c r="J6" s="4" t="inlineStr">
        <is>
          <t>B3</t>
        </is>
      </c>
      <c r="K6" s="4" t="n">
        <v>4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S</t>
        </is>
      </c>
      <c r="Q6" s="5" t="inlineStr">
        <is>
          <t>closed</t>
        </is>
      </c>
      <c r="R6" s="6" t="n"/>
      <c r="S6" s="4" t="n"/>
      <c r="T6" s="4" t="n"/>
      <c r="U6" s="7" t="inlineStr"/>
    </row>
    <row r="7">
      <c r="A7" s="4" t="inlineStr">
        <is>
          <t>verse</t>
        </is>
      </c>
      <c r="B7" s="4" t="inlineStr">
        <is>
          <t>V1a</t>
        </is>
      </c>
      <c r="C7" s="4" t="inlineStr">
        <is>
          <t>lead</t>
        </is>
      </c>
      <c r="D7" s="4" t="n">
        <v>1</v>
      </c>
      <c r="E7" s="4" t="n">
        <v>4.5</v>
      </c>
      <c r="F7" s="4" t="inlineStr">
        <is>
          <t>I</t>
        </is>
      </c>
      <c r="G7" s="4" t="inlineStr">
        <is>
          <t>G</t>
        </is>
      </c>
      <c r="H7" s="4" t="inlineStr">
        <is>
          <t>T</t>
        </is>
      </c>
      <c r="I7" s="4" t="inlineStr">
        <is>
          <t>4</t>
        </is>
      </c>
      <c r="J7" s="4" t="inlineStr">
        <is>
          <t>C4</t>
        </is>
      </c>
      <c r="K7" s="4" t="n">
        <v>5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N</t>
        </is>
      </c>
      <c r="P7" s="5" t="inlineStr">
        <is>
          <t>u</t>
        </is>
      </c>
      <c r="Q7" s="5" t="inlineStr">
        <is>
          <t>open</t>
        </is>
      </c>
      <c r="R7" s="6" t="n"/>
      <c r="S7" s="4" t="n"/>
      <c r="T7" s="4" t="n"/>
      <c r="U7" s="7" t="inlineStr"/>
    </row>
    <row r="8">
      <c r="A8" s="4" t="inlineStr">
        <is>
          <t>verse</t>
        </is>
      </c>
      <c r="B8" s="4" t="inlineStr">
        <is>
          <t>V1a</t>
        </is>
      </c>
      <c r="C8" s="4" t="inlineStr">
        <is>
          <t>lead</t>
        </is>
      </c>
      <c r="D8" s="4" t="n">
        <v>2</v>
      </c>
      <c r="E8" s="4" t="n">
        <v>1</v>
      </c>
      <c r="F8" s="4" t="inlineStr">
        <is>
          <t>V7</t>
        </is>
      </c>
      <c r="G8" s="4" t="inlineStr">
        <is>
          <t>D7</t>
        </is>
      </c>
      <c r="H8" s="4" t="inlineStr">
        <is>
          <t>D</t>
        </is>
      </c>
      <c r="I8" s="4" t="inlineStr">
        <is>
          <t>5</t>
        </is>
      </c>
      <c r="J8" s="4" t="inlineStr">
        <is>
          <t>D4</t>
        </is>
      </c>
      <c r="K8" s="4" t="n">
        <v>7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Y</t>
        </is>
      </c>
      <c r="P8" s="5" t="inlineStr">
        <is>
          <t>S</t>
        </is>
      </c>
      <c r="Q8" s="5" t="inlineStr">
        <is>
          <t>closed</t>
        </is>
      </c>
      <c r="R8" s="6" t="n"/>
      <c r="S8" s="4" t="n"/>
      <c r="T8" s="4" t="n"/>
      <c r="U8" s="7" t="inlineStr">
        <is>
          <t>chord change to V7: melody lands on its root</t>
        </is>
      </c>
    </row>
    <row r="9">
      <c r="A9" s="4" t="inlineStr">
        <is>
          <t>verse</t>
        </is>
      </c>
      <c r="B9" s="4" t="inlineStr">
        <is>
          <t>V1a</t>
        </is>
      </c>
      <c r="C9" s="4" t="inlineStr">
        <is>
          <t>lead</t>
        </is>
      </c>
      <c r="D9" s="4" t="n">
        <v>2</v>
      </c>
      <c r="E9" s="4" t="n">
        <v>2</v>
      </c>
      <c r="F9" s="4" t="inlineStr">
        <is>
          <t>V7</t>
        </is>
      </c>
      <c r="G9" s="4" t="inlineStr">
        <is>
          <t>D7</t>
        </is>
      </c>
      <c r="H9" s="4" t="inlineStr">
        <is>
          <t>D</t>
        </is>
      </c>
      <c r="I9" s="4" t="inlineStr">
        <is>
          <t>4</t>
        </is>
      </c>
      <c r="J9" s="4" t="inlineStr">
        <is>
          <t>C4</t>
        </is>
      </c>
      <c r="K9" s="4" t="n">
        <v>5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Y</t>
        </is>
      </c>
      <c r="P9" s="5" t="inlineStr">
        <is>
          <t>u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slur down</t>
        </is>
      </c>
    </row>
    <row r="10">
      <c r="A10" s="4" t="inlineStr">
        <is>
          <t>verse</t>
        </is>
      </c>
      <c r="B10" s="4" t="inlineStr">
        <is>
          <t>V1a</t>
        </is>
      </c>
      <c r="C10" s="4" t="inlineStr">
        <is>
          <t>lead</t>
        </is>
      </c>
      <c r="D10" s="4" t="n">
        <v>2</v>
      </c>
      <c r="E10" s="4" t="n">
        <v>2.5</v>
      </c>
      <c r="F10" s="4" t="inlineStr">
        <is>
          <t>V7</t>
        </is>
      </c>
      <c r="G10" s="4" t="inlineStr">
        <is>
          <t>D7</t>
        </is>
      </c>
      <c r="H10" s="4" t="inlineStr">
        <is>
          <t>D</t>
        </is>
      </c>
      <c r="I10" s="4" t="inlineStr">
        <is>
          <t>3</t>
        </is>
      </c>
      <c r="J10" s="4" t="inlineStr">
        <is>
          <t>B3</t>
        </is>
      </c>
      <c r="K10" s="4" t="n">
        <v>4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N</t>
        </is>
      </c>
      <c r="P10" s="5" t="inlineStr">
        <is>
          <t>u</t>
        </is>
      </c>
      <c r="Q10" s="5" t="inlineStr">
        <is>
          <t>closed</t>
        </is>
      </c>
      <c r="R10" s="6" t="n"/>
      <c r="S10" s="4" t="n"/>
      <c r="T10" s="4" t="n"/>
      <c r="U10" s="7" t="inlineStr">
        <is>
          <t>tied; phrase arches 4-3-4-5-4-3</t>
        </is>
      </c>
    </row>
    <row r="11">
      <c r="A11" s="4" t="inlineStr">
        <is>
          <t>verse</t>
        </is>
      </c>
      <c r="B11" s="4" t="inlineStr">
        <is>
          <t>V1b</t>
        </is>
      </c>
      <c r="C11" s="4" t="inlineStr">
        <is>
          <t>lead</t>
        </is>
      </c>
      <c r="D11" s="4" t="n">
        <v>3</v>
      </c>
      <c r="E11" s="4" t="n">
        <v>1.5</v>
      </c>
      <c r="F11" s="4" t="inlineStr">
        <is>
          <t>vi</t>
        </is>
      </c>
      <c r="G11" s="4" t="inlineStr">
        <is>
          <t>Em</t>
        </is>
      </c>
      <c r="H11" s="4" t="inlineStr">
        <is>
          <t>T</t>
        </is>
      </c>
      <c r="I11" s="4" t="inlineStr">
        <is>
          <t>3</t>
        </is>
      </c>
      <c r="J11" s="4" t="inlineStr">
        <is>
          <t>B3</t>
        </is>
      </c>
      <c r="K11" s="4" t="n">
        <v>4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Y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chord change to vi: repeated 3s</t>
        </is>
      </c>
    </row>
    <row r="12">
      <c r="A12" s="4" t="inlineStr">
        <is>
          <t>verse</t>
        </is>
      </c>
      <c r="B12" s="4" t="inlineStr">
        <is>
          <t>V1b</t>
        </is>
      </c>
      <c r="C12" s="4" t="inlineStr">
        <is>
          <t>lead</t>
        </is>
      </c>
      <c r="D12" s="4" t="n">
        <v>3</v>
      </c>
      <c r="E12" s="4" t="n">
        <v>2</v>
      </c>
      <c r="F12" s="4" t="inlineStr">
        <is>
          <t>vi</t>
        </is>
      </c>
      <c r="G12" s="4" t="inlineStr">
        <is>
          <t>Em</t>
        </is>
      </c>
      <c r="H12" s="4" t="inlineStr">
        <is>
          <t>T</t>
        </is>
      </c>
      <c r="I12" s="4" t="inlineStr">
        <is>
          <t>3</t>
        </is>
      </c>
      <c r="J12" s="4" t="inlineStr">
        <is>
          <t>B3</t>
        </is>
      </c>
      <c r="K12" s="4" t="n">
        <v>4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Y</t>
        </is>
      </c>
      <c r="P12" s="5" t="inlineStr">
        <is>
          <t>u</t>
        </is>
      </c>
      <c r="Q12" s="5" t="inlineStr">
        <is>
          <t>closed</t>
        </is>
      </c>
      <c r="R12" s="6" t="n"/>
      <c r="S12" s="4" t="n"/>
      <c r="T12" s="4" t="n"/>
      <c r="U12" s="7" t="inlineStr"/>
    </row>
    <row r="13">
      <c r="A13" s="4" t="inlineStr">
        <is>
          <t>verse</t>
        </is>
      </c>
      <c r="B13" s="4" t="inlineStr">
        <is>
          <t>V1b</t>
        </is>
      </c>
      <c r="C13" s="4" t="inlineStr">
        <is>
          <t>lead</t>
        </is>
      </c>
      <c r="D13" s="4" t="n">
        <v>3</v>
      </c>
      <c r="E13" s="4" t="n">
        <v>2.5</v>
      </c>
      <c r="F13" s="4" t="inlineStr">
        <is>
          <t>vi</t>
        </is>
      </c>
      <c r="G13" s="4" t="inlineStr">
        <is>
          <t>Em</t>
        </is>
      </c>
      <c r="H13" s="4" t="inlineStr">
        <is>
          <t>T</t>
        </is>
      </c>
      <c r="I13" s="4" t="inlineStr">
        <is>
          <t>3</t>
        </is>
      </c>
      <c r="J13" s="4" t="inlineStr">
        <is>
          <t>B3</t>
        </is>
      </c>
      <c r="K13" s="4" t="n">
        <v>4</v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Y</t>
        </is>
      </c>
      <c r="P13" s="5" t="inlineStr">
        <is>
          <t>u</t>
        </is>
      </c>
      <c r="Q13" s="5" t="inlineStr">
        <is>
          <t>open</t>
        </is>
      </c>
      <c r="R13" s="6" t="n"/>
      <c r="S13" s="4" t="n"/>
      <c r="T13" s="4" t="n"/>
      <c r="U13" s="7" t="inlineStr"/>
    </row>
    <row r="14">
      <c r="A14" s="4" t="inlineStr">
        <is>
          <t>verse</t>
        </is>
      </c>
      <c r="B14" s="4" t="inlineStr">
        <is>
          <t>V1b</t>
        </is>
      </c>
      <c r="C14" s="4" t="inlineStr">
        <is>
          <t>lead</t>
        </is>
      </c>
      <c r="D14" s="4" t="n">
        <v>3</v>
      </c>
      <c r="E14" s="4" t="n">
        <v>3</v>
      </c>
      <c r="F14" s="4" t="inlineStr">
        <is>
          <t>vi</t>
        </is>
      </c>
      <c r="G14" s="4" t="inlineStr">
        <is>
          <t>Em</t>
        </is>
      </c>
      <c r="H14" s="4" t="inlineStr">
        <is>
          <t>T</t>
        </is>
      </c>
      <c r="I14" s="4" t="inlineStr">
        <is>
          <t>4</t>
        </is>
      </c>
      <c r="J14" s="4" t="inlineStr">
        <is>
          <t>C4</t>
        </is>
      </c>
      <c r="K14" s="4" t="n">
        <v>5</v>
      </c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inlineStr">
        <is>
          <t>N</t>
        </is>
      </c>
      <c r="P14" s="5" t="inlineStr">
        <is>
          <t>u</t>
        </is>
      </c>
      <c r="Q14" s="5" t="inlineStr">
        <is>
          <t>open</t>
        </is>
      </c>
      <c r="R14" s="6" t="n"/>
      <c r="S14" s="4" t="n"/>
      <c r="T14" s="4" t="n"/>
      <c r="U14" s="7" t="inlineStr"/>
    </row>
    <row r="15">
      <c r="A15" s="4" t="inlineStr">
        <is>
          <t>verse</t>
        </is>
      </c>
      <c r="B15" s="4" t="inlineStr">
        <is>
          <t>V1b</t>
        </is>
      </c>
      <c r="C15" s="4" t="inlineStr">
        <is>
          <t>lead</t>
        </is>
      </c>
      <c r="D15" s="4" t="n">
        <v>3</v>
      </c>
      <c r="E15" s="4" t="n">
        <v>3.5</v>
      </c>
      <c r="F15" s="4" t="inlineStr">
        <is>
          <t>vi</t>
        </is>
      </c>
      <c r="G15" s="4" t="inlineStr">
        <is>
          <t>Em</t>
        </is>
      </c>
      <c r="H15" s="4" t="inlineStr">
        <is>
          <t>T</t>
        </is>
      </c>
      <c r="I15" s="4" t="inlineStr">
        <is>
          <t>5</t>
        </is>
      </c>
      <c r="J15" s="4" t="inlineStr">
        <is>
          <t>D4</t>
        </is>
      </c>
      <c r="K15" s="4" t="n">
        <v>7</v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inlineStr">
        <is>
          <t>N</t>
        </is>
      </c>
      <c r="P15" s="5" t="inlineStr">
        <is>
          <t>u</t>
        </is>
      </c>
      <c r="Q15" s="5" t="inlineStr">
        <is>
          <t>open</t>
        </is>
      </c>
      <c r="R15" s="6" t="n"/>
      <c r="S15" s="4" t="n"/>
      <c r="T15" s="4" t="n"/>
      <c r="U15" s="7" t="inlineStr">
        <is>
          <t>climbing into the III7 bar</t>
        </is>
      </c>
    </row>
    <row r="16">
      <c r="A16" s="4" t="inlineStr">
        <is>
          <t>verse</t>
        </is>
      </c>
      <c r="B16" s="4" t="inlineStr">
        <is>
          <t>V1b</t>
        </is>
      </c>
      <c r="C16" s="4" t="inlineStr">
        <is>
          <t>lead</t>
        </is>
      </c>
      <c r="D16" s="4" t="n">
        <v>4</v>
      </c>
      <c r="E16" s="4" t="n">
        <v>1</v>
      </c>
      <c r="F16" s="4" t="inlineStr">
        <is>
          <t>III7</t>
        </is>
      </c>
      <c r="G16" s="4" t="inlineStr">
        <is>
          <t>B7</t>
        </is>
      </c>
      <c r="H16" s="4" t="inlineStr">
        <is>
          <t>D</t>
        </is>
      </c>
      <c r="I16" s="4" t="inlineStr">
        <is>
          <t>5</t>
        </is>
      </c>
      <c r="J16" s="4" t="inlineStr">
        <is>
          <t>D4</t>
        </is>
      </c>
      <c r="K16" s="4" t="n">
        <v>7</v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inlineStr">
        <is>
          <t>N</t>
        </is>
      </c>
      <c r="P16" s="5" t="inlineStr">
        <is>
          <t>S</t>
        </is>
      </c>
      <c r="Q16" s="5" t="inlineStr">
        <is>
          <t>open</t>
        </is>
      </c>
      <c r="R16" s="6" t="n"/>
      <c r="S16" s="4" t="n"/>
      <c r="T16" s="4" t="n"/>
      <c r="U16" s="7" t="inlineStr">
        <is>
          <t>held dotted half over III7 - natural 5 vs the chord's D#: bluesy rub, unresolved (score shows no accidental)</t>
        </is>
      </c>
    </row>
    <row r="17">
      <c r="A17" s="4" t="inlineStr">
        <is>
          <t>verse</t>
        </is>
      </c>
      <c r="B17" s="4" t="inlineStr">
        <is>
          <t>V1b</t>
        </is>
      </c>
      <c r="C17" s="4" t="inlineStr">
        <is>
          <t>lead</t>
        </is>
      </c>
      <c r="D17" s="4" t="n">
        <v>4</v>
      </c>
      <c r="E17" s="4" t="n">
        <v>4</v>
      </c>
      <c r="F17" s="4" t="inlineStr">
        <is>
          <t>III7</t>
        </is>
      </c>
      <c r="G17" s="4" t="inlineStr">
        <is>
          <t>B7</t>
        </is>
      </c>
      <c r="H17" s="4" t="inlineStr">
        <is>
          <t>D</t>
        </is>
      </c>
      <c r="I17" s="4" t="inlineStr">
        <is>
          <t>3</t>
        </is>
      </c>
      <c r="J17" s="4" t="inlineStr">
        <is>
          <t>B3</t>
        </is>
      </c>
      <c r="K17" s="4" t="n">
        <v>4</v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inlineStr">
        <is>
          <t>Y</t>
        </is>
      </c>
      <c r="P17" s="5" t="inlineStr">
        <is>
          <t>u</t>
        </is>
      </c>
      <c r="Q17" s="5" t="inlineStr">
        <is>
          <t>closed</t>
        </is>
      </c>
      <c r="R17" s="6" t="n"/>
      <c r="S17" s="4" t="n"/>
      <c r="T17" s="4" t="n"/>
      <c r="U17" s="7" t="inlineStr">
        <is>
          <t>pickup into second half</t>
        </is>
      </c>
    </row>
    <row r="18">
      <c r="A18" s="4" t="inlineStr">
        <is>
          <t>verse</t>
        </is>
      </c>
      <c r="B18" s="4" t="inlineStr">
        <is>
          <t>V2a</t>
        </is>
      </c>
      <c r="C18" s="4" t="inlineStr">
        <is>
          <t>lead</t>
        </is>
      </c>
      <c r="D18" s="4" t="n">
        <v>5</v>
      </c>
      <c r="E18" s="4" t="n">
        <v>1</v>
      </c>
      <c r="F18" s="4" t="inlineStr">
        <is>
          <t>I</t>
        </is>
      </c>
      <c r="G18" s="4" t="inlineStr">
        <is>
          <t>G</t>
        </is>
      </c>
      <c r="H18" s="4" t="inlineStr">
        <is>
          <t>T</t>
        </is>
      </c>
      <c r="I18" s="4" t="inlineStr">
        <is>
          <t>4</t>
        </is>
      </c>
      <c r="J18" s="4" t="inlineStr">
        <is>
          <t>C4</t>
        </is>
      </c>
      <c r="K18" s="4" t="n">
        <v>5</v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inlineStr">
        <is>
          <t>N</t>
        </is>
      </c>
      <c r="P18" s="5" t="inlineStr">
        <is>
          <t>S</t>
        </is>
      </c>
      <c r="Q18" s="5" t="inlineStr">
        <is>
          <t>open</t>
        </is>
      </c>
      <c r="R18" s="6" t="n"/>
      <c r="S18" s="4" t="n"/>
      <c r="T18" s="4" t="n"/>
      <c r="U18" s="7" t="inlineStr">
        <is>
          <t>same fall figure as bar 1</t>
        </is>
      </c>
    </row>
    <row r="19">
      <c r="A19" s="4" t="inlineStr">
        <is>
          <t>verse</t>
        </is>
      </c>
      <c r="B19" s="4" t="inlineStr">
        <is>
          <t>V2a</t>
        </is>
      </c>
      <c r="C19" s="4" t="inlineStr">
        <is>
          <t>lead</t>
        </is>
      </c>
      <c r="D19" s="4" t="n">
        <v>5</v>
      </c>
      <c r="E19" s="4" t="n">
        <v>1.5</v>
      </c>
      <c r="F19" s="4" t="inlineStr">
        <is>
          <t>I</t>
        </is>
      </c>
      <c r="G19" s="4" t="inlineStr">
        <is>
          <t>G</t>
        </is>
      </c>
      <c r="H19" s="4" t="inlineStr">
        <is>
          <t>T</t>
        </is>
      </c>
      <c r="I19" s="4" t="inlineStr">
        <is>
          <t>3</t>
        </is>
      </c>
      <c r="J19" s="4" t="inlineStr">
        <is>
          <t>B3</t>
        </is>
      </c>
      <c r="K19" s="4" t="n">
        <v>4</v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inlineStr">
        <is>
          <t>Y</t>
        </is>
      </c>
      <c r="P19" s="5" t="inlineStr">
        <is>
          <t>u</t>
        </is>
      </c>
      <c r="Q19" s="5" t="inlineStr">
        <is>
          <t>open</t>
        </is>
      </c>
      <c r="R19" s="6" t="n"/>
      <c r="S19" s="4" t="n"/>
      <c r="T19" s="4" t="n"/>
      <c r="U19" s="7" t="inlineStr"/>
    </row>
    <row r="20">
      <c r="A20" s="4" t="inlineStr">
        <is>
          <t>verse</t>
        </is>
      </c>
      <c r="B20" s="4" t="inlineStr">
        <is>
          <t>V2a</t>
        </is>
      </c>
      <c r="C20" s="4" t="inlineStr">
        <is>
          <t>lead</t>
        </is>
      </c>
      <c r="D20" s="4" t="n">
        <v>5</v>
      </c>
      <c r="E20" s="4" t="n">
        <v>4</v>
      </c>
      <c r="F20" s="4" t="inlineStr">
        <is>
          <t>I</t>
        </is>
      </c>
      <c r="G20" s="4" t="inlineStr">
        <is>
          <t>G</t>
        </is>
      </c>
      <c r="H20" s="4" t="inlineStr">
        <is>
          <t>T</t>
        </is>
      </c>
      <c r="I20" s="4" t="inlineStr">
        <is>
          <t>3</t>
        </is>
      </c>
      <c r="J20" s="4" t="inlineStr">
        <is>
          <t>B3</t>
        </is>
      </c>
      <c r="K20" s="4" t="n">
        <v>4</v>
      </c>
      <c r="L20" s="4">
        <f>IF(OR(C20&lt;&gt;C19,K20="",K19=""),"",K20-K19)</f>
        <v/>
      </c>
      <c r="M20" s="4">
        <f>IF(L20="","",IF(L20=0,"repeat",IF(ABS(L20)&lt;=2,"step","leap")))</f>
        <v/>
      </c>
      <c r="N20" s="4">
        <f>IF(F20&lt;&gt;F19,"Y","")</f>
        <v/>
      </c>
      <c r="O20" s="5" t="inlineStr">
        <is>
          <t>Y</t>
        </is>
      </c>
      <c r="P20" s="5" t="inlineStr">
        <is>
          <t>S</t>
        </is>
      </c>
      <c r="Q20" s="5" t="inlineStr">
        <is>
          <t>open</t>
        </is>
      </c>
      <c r="R20" s="6" t="n"/>
      <c r="S20" s="4" t="n"/>
      <c r="T20" s="4" t="n"/>
      <c r="U20" s="7" t="inlineStr"/>
    </row>
    <row r="21">
      <c r="A21" s="4" t="inlineStr">
        <is>
          <t>verse</t>
        </is>
      </c>
      <c r="B21" s="4" t="inlineStr">
        <is>
          <t>V2a</t>
        </is>
      </c>
      <c r="C21" s="4" t="inlineStr">
        <is>
          <t>lead</t>
        </is>
      </c>
      <c r="D21" s="4" t="n">
        <v>5</v>
      </c>
      <c r="E21" s="4" t="n">
        <v>4.5</v>
      </c>
      <c r="F21" s="4" t="inlineStr">
        <is>
          <t>I</t>
        </is>
      </c>
      <c r="G21" s="4" t="inlineStr">
        <is>
          <t>G</t>
        </is>
      </c>
      <c r="H21" s="4" t="inlineStr">
        <is>
          <t>T</t>
        </is>
      </c>
      <c r="I21" s="4" t="inlineStr">
        <is>
          <t>4</t>
        </is>
      </c>
      <c r="J21" s="4" t="inlineStr">
        <is>
          <t>C4</t>
        </is>
      </c>
      <c r="K21" s="4" t="n">
        <v>5</v>
      </c>
      <c r="L21" s="4">
        <f>IF(OR(C21&lt;&gt;C20,K21="",K20=""),"",K21-K20)</f>
        <v/>
      </c>
      <c r="M21" s="4">
        <f>IF(L21="","",IF(L21=0,"repeat",IF(ABS(L21)&lt;=2,"step","leap")))</f>
        <v/>
      </c>
      <c r="N21" s="4">
        <f>IF(F21&lt;&gt;F20,"Y","")</f>
        <v/>
      </c>
      <c r="O21" s="5" t="inlineStr">
        <is>
          <t>N</t>
        </is>
      </c>
      <c r="P21" s="5" t="inlineStr">
        <is>
          <t>u</t>
        </is>
      </c>
      <c r="Q21" s="5" t="inlineStr">
        <is>
          <t>open</t>
        </is>
      </c>
      <c r="R21" s="6" t="n"/>
      <c r="S21" s="4" t="n"/>
      <c r="T21" s="4" t="n"/>
      <c r="U21" s="7" t="inlineStr"/>
    </row>
    <row r="22">
      <c r="A22" s="4" t="inlineStr">
        <is>
          <t>verse</t>
        </is>
      </c>
      <c r="B22" s="4" t="inlineStr">
        <is>
          <t>V2a</t>
        </is>
      </c>
      <c r="C22" s="4" t="inlineStr">
        <is>
          <t>lead</t>
        </is>
      </c>
      <c r="D22" s="4" t="n">
        <v>6</v>
      </c>
      <c r="E22" s="4" t="n">
        <v>1</v>
      </c>
      <c r="F22" s="4" t="inlineStr">
        <is>
          <t>V7</t>
        </is>
      </c>
      <c r="G22" s="4" t="inlineStr">
        <is>
          <t>D7</t>
        </is>
      </c>
      <c r="H22" s="4" t="inlineStr">
        <is>
          <t>D</t>
        </is>
      </c>
      <c r="I22" s="4" t="inlineStr">
        <is>
          <t>3</t>
        </is>
      </c>
      <c r="J22" s="4" t="inlineStr">
        <is>
          <t>B3</t>
        </is>
      </c>
      <c r="K22" s="4" t="n">
        <v>4</v>
      </c>
      <c r="L22" s="4">
        <f>IF(OR(C22&lt;&gt;C21,K22="",K21=""),"",K22-K21)</f>
        <v/>
      </c>
      <c r="M22" s="4">
        <f>IF(L22="","",IF(L22=0,"repeat",IF(ABS(L22)&lt;=2,"step","leap")))</f>
        <v/>
      </c>
      <c r="N22" s="4">
        <f>IF(F22&lt;&gt;F21,"Y","")</f>
        <v/>
      </c>
      <c r="O22" s="5" t="inlineStr">
        <is>
          <t>N</t>
        </is>
      </c>
      <c r="P22" s="5" t="inlineStr">
        <is>
          <t>S</t>
        </is>
      </c>
      <c r="Q22" s="5" t="inlineStr">
        <is>
          <t>closed</t>
        </is>
      </c>
      <c r="R22" s="6" t="n"/>
      <c r="S22" s="4" t="n"/>
      <c r="T22" s="4" t="n"/>
      <c r="U22" s="7" t="inlineStr">
        <is>
          <t>this time the word sits lower: 3 dotted</t>
        </is>
      </c>
    </row>
    <row r="23">
      <c r="A23" s="4" t="inlineStr">
        <is>
          <t>verse</t>
        </is>
      </c>
      <c r="B23" s="4" t="inlineStr">
        <is>
          <t>V2a</t>
        </is>
      </c>
      <c r="C23" s="4" t="inlineStr">
        <is>
          <t>lead</t>
        </is>
      </c>
      <c r="D23" s="4" t="n">
        <v>6</v>
      </c>
      <c r="E23" s="4" t="n">
        <v>2</v>
      </c>
      <c r="F23" s="4" t="inlineStr">
        <is>
          <t>V7</t>
        </is>
      </c>
      <c r="G23" s="4" t="inlineStr">
        <is>
          <t>D7</t>
        </is>
      </c>
      <c r="H23" s="4" t="inlineStr">
        <is>
          <t>D</t>
        </is>
      </c>
      <c r="I23" s="4" t="inlineStr">
        <is>
          <t>2</t>
        </is>
      </c>
      <c r="J23" s="4" t="inlineStr">
        <is>
          <t>A3</t>
        </is>
      </c>
      <c r="K23" s="4" t="n">
        <v>2</v>
      </c>
      <c r="L23" s="4">
        <f>IF(OR(C23&lt;&gt;C22,K23="",K22=""),"",K23-K22)</f>
        <v/>
      </c>
      <c r="M23" s="4">
        <f>IF(L23="","",IF(L23=0,"repeat",IF(ABS(L23)&lt;=2,"step","leap")))</f>
        <v/>
      </c>
      <c r="N23" s="4">
        <f>IF(F23&lt;&gt;F22,"Y","")</f>
        <v/>
      </c>
      <c r="O23" s="5" t="inlineStr">
        <is>
          <t>N</t>
        </is>
      </c>
      <c r="P23" s="5" t="inlineStr">
        <is>
          <t>u</t>
        </is>
      </c>
      <c r="Q23" s="5" t="inlineStr">
        <is>
          <t>open</t>
        </is>
      </c>
      <c r="R23" s="6" t="n"/>
      <c r="S23" s="4" t="n"/>
      <c r="T23" s="4" t="n"/>
      <c r="U23" s="7" t="inlineStr">
        <is>
          <t>slur down toward the hook</t>
        </is>
      </c>
    </row>
    <row r="24">
      <c r="A24" s="4" t="inlineStr">
        <is>
          <t>verse</t>
        </is>
      </c>
      <c r="B24" s="4" t="inlineStr">
        <is>
          <t>V2a</t>
        </is>
      </c>
      <c r="C24" s="4" t="inlineStr">
        <is>
          <t>lead</t>
        </is>
      </c>
      <c r="D24" s="4" t="n">
        <v>6</v>
      </c>
      <c r="E24" s="4" t="n">
        <v>2.5</v>
      </c>
      <c r="F24" s="4" t="inlineStr">
        <is>
          <t>V7</t>
        </is>
      </c>
      <c r="G24" s="4" t="inlineStr">
        <is>
          <t>D7</t>
        </is>
      </c>
      <c r="H24" s="4" t="inlineStr">
        <is>
          <t>D</t>
        </is>
      </c>
      <c r="I24" s="4" t="inlineStr">
        <is>
          <t>1</t>
        </is>
      </c>
      <c r="J24" s="4" t="inlineStr">
        <is>
          <t>G3</t>
        </is>
      </c>
      <c r="K24" s="4" t="n">
        <v>0</v>
      </c>
      <c r="L24" s="4">
        <f>IF(OR(C24&lt;&gt;C23,K24="",K23=""),"",K24-K23)</f>
        <v/>
      </c>
      <c r="M24" s="4">
        <f>IF(L24="","",IF(L24=0,"repeat",IF(ABS(L24)&lt;=2,"step","leap")))</f>
        <v/>
      </c>
      <c r="N24" s="4">
        <f>IF(F24&lt;&gt;F23,"Y","")</f>
        <v/>
      </c>
      <c r="O24" s="5" t="inlineStr">
        <is>
          <t>N</t>
        </is>
      </c>
      <c r="P24" s="5" t="inlineStr">
        <is>
          <t>u</t>
        </is>
      </c>
      <c r="Q24" s="5" t="inlineStr">
        <is>
          <t>closed</t>
        </is>
      </c>
      <c r="R24" s="6" t="n"/>
      <c r="S24" s="4" t="n"/>
      <c r="T24" s="4" t="n"/>
      <c r="U24" s="7" t="inlineStr">
        <is>
          <t>tied; descent 3-2-1 sets up the title</t>
        </is>
      </c>
    </row>
    <row r="25">
      <c r="A25" s="4" t="inlineStr">
        <is>
          <t>verse</t>
        </is>
      </c>
      <c r="B25" s="4" t="inlineStr">
        <is>
          <t>hook1</t>
        </is>
      </c>
      <c r="C25" s="4" t="inlineStr">
        <is>
          <t>lead</t>
        </is>
      </c>
      <c r="D25" s="4" t="n">
        <v>7</v>
      </c>
      <c r="E25" s="4" t="n">
        <v>1.5</v>
      </c>
      <c r="F25" s="4" t="inlineStr">
        <is>
          <t>vi</t>
        </is>
      </c>
      <c r="G25" s="4" t="inlineStr">
        <is>
          <t>Em</t>
        </is>
      </c>
      <c r="H25" s="4" t="inlineStr">
        <is>
          <t>T</t>
        </is>
      </c>
      <c r="I25" s="4" t="inlineStr">
        <is>
          <t>3</t>
        </is>
      </c>
      <c r="J25" s="4" t="inlineStr">
        <is>
          <t>B3</t>
        </is>
      </c>
      <c r="K25" s="4" t="n">
        <v>4</v>
      </c>
      <c r="L25" s="4">
        <f>IF(OR(C25&lt;&gt;C24,K25="",K24=""),"",K25-K24)</f>
        <v/>
      </c>
      <c r="M25" s="4">
        <f>IF(L25="","",IF(L25=0,"repeat",IF(ABS(L25)&lt;=2,"step","leap")))</f>
        <v/>
      </c>
      <c r="N25" s="4">
        <f>IF(F25&lt;&gt;F24,"Y","")</f>
        <v/>
      </c>
      <c r="O25" s="5" t="inlineStr">
        <is>
          <t>Y</t>
        </is>
      </c>
      <c r="P25" s="5" t="inlineStr">
        <is>
          <t>S</t>
        </is>
      </c>
      <c r="Q25" s="5" t="inlineStr">
        <is>
          <t>open</t>
        </is>
      </c>
      <c r="R25" s="6" t="n"/>
      <c r="S25" s="4" t="n"/>
      <c r="T25" s="4" t="n"/>
      <c r="U25" s="7" t="inlineStr">
        <is>
          <t>TITLE: four repeated 3s, front-heavy chant</t>
        </is>
      </c>
    </row>
    <row r="26">
      <c r="A26" s="4" t="inlineStr">
        <is>
          <t>verse</t>
        </is>
      </c>
      <c r="B26" s="4" t="inlineStr">
        <is>
          <t>hook1</t>
        </is>
      </c>
      <c r="C26" s="4" t="inlineStr">
        <is>
          <t>lead</t>
        </is>
      </c>
      <c r="D26" s="4" t="n">
        <v>7</v>
      </c>
      <c r="E26" s="4" t="n">
        <v>2</v>
      </c>
      <c r="F26" s="4" t="inlineStr">
        <is>
          <t>vi</t>
        </is>
      </c>
      <c r="G26" s="4" t="inlineStr">
        <is>
          <t>Em</t>
        </is>
      </c>
      <c r="H26" s="4" t="inlineStr">
        <is>
          <t>T</t>
        </is>
      </c>
      <c r="I26" s="4" t="inlineStr">
        <is>
          <t>3</t>
        </is>
      </c>
      <c r="J26" s="4" t="inlineStr">
        <is>
          <t>B3</t>
        </is>
      </c>
      <c r="K26" s="4" t="n">
        <v>4</v>
      </c>
      <c r="L26" s="4">
        <f>IF(OR(C26&lt;&gt;C25,K26="",K25=""),"",K26-K25)</f>
        <v/>
      </c>
      <c r="M26" s="4">
        <f>IF(L26="","",IF(L26=0,"repeat",IF(ABS(L26)&lt;=2,"step","leap")))</f>
        <v/>
      </c>
      <c r="N26" s="4">
        <f>IF(F26&lt;&gt;F25,"Y","")</f>
        <v/>
      </c>
      <c r="O26" s="5" t="inlineStr">
        <is>
          <t>Y</t>
        </is>
      </c>
      <c r="P26" s="5" t="inlineStr">
        <is>
          <t>u</t>
        </is>
      </c>
      <c r="Q26" s="5" t="inlineStr">
        <is>
          <t>open</t>
        </is>
      </c>
      <c r="R26" s="6" t="n"/>
      <c r="S26" s="4" t="n"/>
      <c r="T26" s="4" t="n"/>
      <c r="U26" s="7" t="inlineStr"/>
    </row>
    <row r="27">
      <c r="A27" s="4" t="inlineStr">
        <is>
          <t>verse</t>
        </is>
      </c>
      <c r="B27" s="4" t="inlineStr">
        <is>
          <t>hook1</t>
        </is>
      </c>
      <c r="C27" s="4" t="inlineStr">
        <is>
          <t>lead</t>
        </is>
      </c>
      <c r="D27" s="4" t="n">
        <v>7</v>
      </c>
      <c r="E27" s="4" t="n">
        <v>2.5</v>
      </c>
      <c r="F27" s="4" t="inlineStr">
        <is>
          <t>vi</t>
        </is>
      </c>
      <c r="G27" s="4" t="inlineStr">
        <is>
          <t>Em</t>
        </is>
      </c>
      <c r="H27" s="4" t="inlineStr">
        <is>
          <t>T</t>
        </is>
      </c>
      <c r="I27" s="4" t="inlineStr">
        <is>
          <t>3</t>
        </is>
      </c>
      <c r="J27" s="4" t="inlineStr">
        <is>
          <t>B3</t>
        </is>
      </c>
      <c r="K27" s="4" t="n">
        <v>4</v>
      </c>
      <c r="L27" s="4">
        <f>IF(OR(C27&lt;&gt;C26,K27="",K26=""),"",K27-K26)</f>
        <v/>
      </c>
      <c r="M27" s="4">
        <f>IF(L27="","",IF(L27=0,"repeat",IF(ABS(L27)&lt;=2,"step","leap")))</f>
        <v/>
      </c>
      <c r="N27" s="4">
        <f>IF(F27&lt;&gt;F26,"Y","")</f>
        <v/>
      </c>
      <c r="O27" s="5" t="inlineStr">
        <is>
          <t>Y</t>
        </is>
      </c>
      <c r="P27" s="5" t="inlineStr">
        <is>
          <t>S</t>
        </is>
      </c>
      <c r="Q27" s="5" t="inlineStr">
        <is>
          <t>open</t>
        </is>
      </c>
      <c r="R27" s="6" t="n"/>
      <c r="S27" s="4" t="n"/>
      <c r="T27" s="4" t="n"/>
      <c r="U27" s="7" t="inlineStr"/>
    </row>
    <row r="28">
      <c r="A28" s="4" t="inlineStr">
        <is>
          <t>verse</t>
        </is>
      </c>
      <c r="B28" s="4" t="inlineStr">
        <is>
          <t>hook1</t>
        </is>
      </c>
      <c r="C28" s="4" t="inlineStr">
        <is>
          <t>lead</t>
        </is>
      </c>
      <c r="D28" s="4" t="n">
        <v>7</v>
      </c>
      <c r="E28" s="4" t="n">
        <v>3</v>
      </c>
      <c r="F28" s="4" t="inlineStr">
        <is>
          <t>vi</t>
        </is>
      </c>
      <c r="G28" s="4" t="inlineStr">
        <is>
          <t>Em</t>
        </is>
      </c>
      <c r="H28" s="4" t="inlineStr">
        <is>
          <t>T</t>
        </is>
      </c>
      <c r="I28" s="4" t="inlineStr">
        <is>
          <t>3</t>
        </is>
      </c>
      <c r="J28" s="4" t="inlineStr">
        <is>
          <t>B3</t>
        </is>
      </c>
      <c r="K28" s="4" t="n">
        <v>4</v>
      </c>
      <c r="L28" s="4">
        <f>IF(OR(C28&lt;&gt;C27,K28="",K27=""),"",K28-K27)</f>
        <v/>
      </c>
      <c r="M28" s="4">
        <f>IF(L28="","",IF(L28=0,"repeat",IF(ABS(L28)&lt;=2,"step","leap")))</f>
        <v/>
      </c>
      <c r="N28" s="4">
        <f>IF(F28&lt;&gt;F27,"Y","")</f>
        <v/>
      </c>
      <c r="O28" s="5" t="inlineStr">
        <is>
          <t>Y</t>
        </is>
      </c>
      <c r="P28" s="5" t="inlineStr">
        <is>
          <t>u</t>
        </is>
      </c>
      <c r="Q28" s="5" t="inlineStr">
        <is>
          <t>open</t>
        </is>
      </c>
      <c r="R28" s="6" t="n"/>
      <c r="S28" s="4" t="n"/>
      <c r="T28" s="4" t="n"/>
      <c r="U28" s="7" t="inlineStr"/>
    </row>
    <row r="29">
      <c r="A29" s="4" t="inlineStr">
        <is>
          <t>verse</t>
        </is>
      </c>
      <c r="B29" s="4" t="inlineStr">
        <is>
          <t>hook1</t>
        </is>
      </c>
      <c r="C29" s="4" t="inlineStr">
        <is>
          <t>lead</t>
        </is>
      </c>
      <c r="D29" s="4" t="n">
        <v>7</v>
      </c>
      <c r="E29" s="4" t="n">
        <v>4</v>
      </c>
      <c r="F29" s="4" t="inlineStr">
        <is>
          <t>vi</t>
        </is>
      </c>
      <c r="G29" s="4" t="inlineStr">
        <is>
          <t>Em</t>
        </is>
      </c>
      <c r="H29" s="4" t="inlineStr">
        <is>
          <t>T</t>
        </is>
      </c>
      <c r="I29" s="4" t="inlineStr">
        <is>
          <t>3</t>
        </is>
      </c>
      <c r="J29" s="4" t="inlineStr">
        <is>
          <t>B3</t>
        </is>
      </c>
      <c r="K29" s="4" t="n">
        <v>4</v>
      </c>
      <c r="L29" s="4">
        <f>IF(OR(C29&lt;&gt;C28,K29="",K28=""),"",K29-K28)</f>
        <v/>
      </c>
      <c r="M29" s="4">
        <f>IF(L29="","",IF(L29=0,"repeat",IF(ABS(L29)&lt;=2,"step","leap")))</f>
        <v/>
      </c>
      <c r="N29" s="4">
        <f>IF(F29&lt;&gt;F28,"Y","")</f>
        <v/>
      </c>
      <c r="O29" s="5" t="inlineStr">
        <is>
          <t>Y</t>
        </is>
      </c>
      <c r="P29" s="5" t="inlineStr">
        <is>
          <t>u</t>
        </is>
      </c>
      <c r="Q29" s="5" t="inlineStr">
        <is>
          <t>open</t>
        </is>
      </c>
      <c r="R29" s="6" t="n"/>
      <c r="S29" s="4" t="n"/>
      <c r="T29" s="4" t="n"/>
      <c r="U29" s="7" t="inlineStr"/>
    </row>
    <row r="30">
      <c r="A30" s="4" t="inlineStr">
        <is>
          <t>verse</t>
        </is>
      </c>
      <c r="B30" s="4" t="inlineStr">
        <is>
          <t>hook1</t>
        </is>
      </c>
      <c r="C30" s="4" t="inlineStr">
        <is>
          <t>lead</t>
        </is>
      </c>
      <c r="D30" s="4" t="n">
        <v>8</v>
      </c>
      <c r="E30" s="4" t="n">
        <v>1</v>
      </c>
      <c r="F30" s="4" t="inlineStr">
        <is>
          <t>III7</t>
        </is>
      </c>
      <c r="G30" s="4" t="inlineStr">
        <is>
          <t>B7</t>
        </is>
      </c>
      <c r="H30" s="4" t="inlineStr">
        <is>
          <t>D</t>
        </is>
      </c>
      <c r="I30" s="4" t="inlineStr">
        <is>
          <t>6</t>
        </is>
      </c>
      <c r="J30" s="4" t="inlineStr">
        <is>
          <t>E4</t>
        </is>
      </c>
      <c r="K30" s="4" t="n">
        <v>9</v>
      </c>
      <c r="L30" s="4">
        <f>IF(OR(C30&lt;&gt;C29,K30="",K29=""),"",K30-K29)</f>
        <v/>
      </c>
      <c r="M30" s="4">
        <f>IF(L30="","",IF(L30=0,"repeat",IF(ABS(L30)&lt;=2,"step","leap")))</f>
        <v/>
      </c>
      <c r="N30" s="4">
        <f>IF(F30&lt;&gt;F29,"Y","")</f>
        <v/>
      </c>
      <c r="O30" s="5" t="inlineStr">
        <is>
          <t>N</t>
        </is>
      </c>
      <c r="P30" s="5" t="inlineStr">
        <is>
          <t>S</t>
        </is>
      </c>
      <c r="Q30" s="5" t="inlineStr">
        <is>
          <t>open</t>
        </is>
      </c>
      <c r="R30" s="6" t="n"/>
      <c r="S30" s="4" t="inlineStr">
        <is>
          <t>1</t>
        </is>
      </c>
      <c r="T30" s="4" t="inlineStr">
        <is>
          <t>3rd above</t>
        </is>
      </c>
      <c r="U30" s="7" t="inlineStr">
        <is>
          <t>THE LEAP: lead jumps a 4th to 6, harmony stacks 8ve degree 1 above (E5+G5 written) - Em tones held over arriving III7</t>
        </is>
      </c>
    </row>
    <row r="31">
      <c r="A31" s="4" t="inlineStr">
        <is>
          <t>verse</t>
        </is>
      </c>
      <c r="B31" s="4" t="inlineStr">
        <is>
          <t>hook1</t>
        </is>
      </c>
      <c r="C31" s="4" t="inlineStr">
        <is>
          <t>lead</t>
        </is>
      </c>
      <c r="D31" s="4" t="n">
        <v>8</v>
      </c>
      <c r="E31" s="4" t="n">
        <v>2</v>
      </c>
      <c r="F31" s="4" t="inlineStr">
        <is>
          <t>III7</t>
        </is>
      </c>
      <c r="G31" s="4" t="inlineStr">
        <is>
          <t>B7</t>
        </is>
      </c>
      <c r="H31" s="4" t="inlineStr">
        <is>
          <t>D</t>
        </is>
      </c>
      <c r="I31" s="4" t="inlineStr">
        <is>
          <t>#5</t>
        </is>
      </c>
      <c r="J31" s="4" t="inlineStr">
        <is>
          <t>D#4</t>
        </is>
      </c>
      <c r="K31" s="4" t="n">
        <v>8</v>
      </c>
      <c r="L31" s="4">
        <f>IF(OR(C31&lt;&gt;C30,K31="",K30=""),"",K31-K30)</f>
        <v/>
      </c>
      <c r="M31" s="4">
        <f>IF(L31="","",IF(L31=0,"repeat",IF(ABS(L31)&lt;=2,"step","leap")))</f>
        <v/>
      </c>
      <c r="N31" s="4">
        <f>IF(F31&lt;&gt;F30,"Y","")</f>
        <v/>
      </c>
      <c r="O31" s="5" t="inlineStr">
        <is>
          <t>Y</t>
        </is>
      </c>
      <c r="P31" s="5" t="inlineStr">
        <is>
          <t>u</t>
        </is>
      </c>
      <c r="Q31" s="5" t="inlineStr">
        <is>
          <t>open</t>
        </is>
      </c>
      <c r="R31" s="6" t="n"/>
      <c r="S31" s="4" t="inlineStr">
        <is>
          <t>7</t>
        </is>
      </c>
      <c r="T31" s="4" t="inlineStr">
        <is>
          <t>3rd above</t>
        </is>
      </c>
      <c r="U31" s="7" t="inlineStr">
        <is>
          <t>resolves down a half-step onto the chord's 3rd (D#+F# stack): the famous ha-a-nd fall</t>
        </is>
      </c>
    </row>
    <row r="32">
      <c r="A32" s="4" t="inlineStr">
        <is>
          <t>verse</t>
        </is>
      </c>
      <c r="B32" s="4" t="inlineStr">
        <is>
          <t>hook2</t>
        </is>
      </c>
      <c r="C32" s="4" t="inlineStr">
        <is>
          <t>lead</t>
        </is>
      </c>
      <c r="D32" s="4" t="n">
        <v>9</v>
      </c>
      <c r="E32" s="4" t="n">
        <v>1.5</v>
      </c>
      <c r="F32" s="4" t="inlineStr">
        <is>
          <t>IV</t>
        </is>
      </c>
      <c r="G32" s="4" t="inlineStr">
        <is>
          <t>C</t>
        </is>
      </c>
      <c r="H32" s="4" t="inlineStr">
        <is>
          <t>PD</t>
        </is>
      </c>
      <c r="I32" s="4" t="inlineStr">
        <is>
          <t>6</t>
        </is>
      </c>
      <c r="J32" s="4" t="inlineStr">
        <is>
          <t>E4</t>
        </is>
      </c>
      <c r="K32" s="4" t="n">
        <v>9</v>
      </c>
      <c r="L32" s="4">
        <f>IF(OR(C32&lt;&gt;C31,K32="",K31=""),"",K32-K31)</f>
        <v/>
      </c>
      <c r="M32" s="4">
        <f>IF(L32="","",IF(L32=0,"repeat",IF(ABS(L32)&lt;=2,"step","leap")))</f>
        <v/>
      </c>
      <c r="N32" s="4">
        <f>IF(F32&lt;&gt;F31,"Y","")</f>
        <v/>
      </c>
      <c r="O32" s="5" t="inlineStr">
        <is>
          <t>N</t>
        </is>
      </c>
      <c r="P32" s="5" t="inlineStr">
        <is>
          <t>S</t>
        </is>
      </c>
      <c r="Q32" s="5" t="inlineStr">
        <is>
          <t>open</t>
        </is>
      </c>
      <c r="R32" s="6" t="n"/>
      <c r="S32" s="4" t="n"/>
      <c r="T32" s="4" t="n"/>
      <c r="U32" s="7" t="inlineStr">
        <is>
          <t>answer hook starts high</t>
        </is>
      </c>
    </row>
    <row r="33">
      <c r="A33" s="4" t="inlineStr">
        <is>
          <t>verse</t>
        </is>
      </c>
      <c r="B33" s="4" t="inlineStr">
        <is>
          <t>hook2</t>
        </is>
      </c>
      <c r="C33" s="4" t="inlineStr">
        <is>
          <t>lead</t>
        </is>
      </c>
      <c r="D33" s="4" t="n">
        <v>9</v>
      </c>
      <c r="E33" s="4" t="n">
        <v>2</v>
      </c>
      <c r="F33" s="4" t="inlineStr">
        <is>
          <t>IV</t>
        </is>
      </c>
      <c r="G33" s="4" t="inlineStr">
        <is>
          <t>C</t>
        </is>
      </c>
      <c r="H33" s="4" t="inlineStr">
        <is>
          <t>PD</t>
        </is>
      </c>
      <c r="I33" s="4" t="inlineStr">
        <is>
          <t>6</t>
        </is>
      </c>
      <c r="J33" s="4" t="inlineStr">
        <is>
          <t>E4</t>
        </is>
      </c>
      <c r="K33" s="4" t="n">
        <v>9</v>
      </c>
      <c r="L33" s="4">
        <f>IF(OR(C33&lt;&gt;C32,K33="",K32=""),"",K33-K32)</f>
        <v/>
      </c>
      <c r="M33" s="4">
        <f>IF(L33="","",IF(L33=0,"repeat",IF(ABS(L33)&lt;=2,"step","leap")))</f>
        <v/>
      </c>
      <c r="N33" s="4">
        <f>IF(F33&lt;&gt;F32,"Y","")</f>
        <v/>
      </c>
      <c r="O33" s="5" t="inlineStr">
        <is>
          <t>N</t>
        </is>
      </c>
      <c r="P33" s="5" t="inlineStr">
        <is>
          <t>u</t>
        </is>
      </c>
      <c r="Q33" s="5" t="inlineStr">
        <is>
          <t>open</t>
        </is>
      </c>
      <c r="R33" s="6" t="n"/>
      <c r="S33" s="4" t="n"/>
      <c r="T33" s="4" t="n"/>
      <c r="U33" s="7" t="inlineStr"/>
    </row>
    <row r="34">
      <c r="A34" s="4" t="inlineStr">
        <is>
          <t>verse</t>
        </is>
      </c>
      <c r="B34" s="4" t="inlineStr">
        <is>
          <t>hook2</t>
        </is>
      </c>
      <c r="C34" s="4" t="inlineStr">
        <is>
          <t>lead</t>
        </is>
      </c>
      <c r="D34" s="4" t="n">
        <v>9</v>
      </c>
      <c r="E34" s="4" t="n">
        <v>2.5</v>
      </c>
      <c r="F34" s="4" t="inlineStr">
        <is>
          <t>IV</t>
        </is>
      </c>
      <c r="G34" s="4" t="inlineStr">
        <is>
          <t>C</t>
        </is>
      </c>
      <c r="H34" s="4" t="inlineStr">
        <is>
          <t>PD</t>
        </is>
      </c>
      <c r="I34" s="4" t="inlineStr">
        <is>
          <t>5</t>
        </is>
      </c>
      <c r="J34" s="4" t="inlineStr">
        <is>
          <t>D4</t>
        </is>
      </c>
      <c r="K34" s="4" t="n">
        <v>7</v>
      </c>
      <c r="L34" s="4">
        <f>IF(OR(C34&lt;&gt;C33,K34="",K33=""),"",K34-K33)</f>
        <v/>
      </c>
      <c r="M34" s="4">
        <f>IF(L34="","",IF(L34=0,"repeat",IF(ABS(L34)&lt;=2,"step","leap")))</f>
        <v/>
      </c>
      <c r="N34" s="4">
        <f>IF(F34&lt;&gt;F33,"Y","")</f>
        <v/>
      </c>
      <c r="O34" s="5" t="inlineStr">
        <is>
          <t>N</t>
        </is>
      </c>
      <c r="P34" s="5" t="inlineStr">
        <is>
          <t>S</t>
        </is>
      </c>
      <c r="Q34" s="5" t="inlineStr">
        <is>
          <t>open</t>
        </is>
      </c>
      <c r="R34" s="6" t="n"/>
      <c r="S34" s="4" t="n"/>
      <c r="T34" s="4" t="n"/>
      <c r="U34" s="7" t="inlineStr"/>
    </row>
    <row r="35">
      <c r="A35" s="4" t="inlineStr">
        <is>
          <t>verse</t>
        </is>
      </c>
      <c r="B35" s="4" t="inlineStr">
        <is>
          <t>hook2</t>
        </is>
      </c>
      <c r="C35" s="4" t="inlineStr">
        <is>
          <t>lead</t>
        </is>
      </c>
      <c r="D35" s="4" t="n">
        <v>9</v>
      </c>
      <c r="E35" s="4" t="n">
        <v>3</v>
      </c>
      <c r="F35" s="4" t="inlineStr">
        <is>
          <t>IV</t>
        </is>
      </c>
      <c r="G35" s="4" t="inlineStr">
        <is>
          <t>C</t>
        </is>
      </c>
      <c r="H35" s="4" t="inlineStr">
        <is>
          <t>PD</t>
        </is>
      </c>
      <c r="I35" s="4" t="inlineStr">
        <is>
          <t>5</t>
        </is>
      </c>
      <c r="J35" s="4" t="inlineStr">
        <is>
          <t>D4</t>
        </is>
      </c>
      <c r="K35" s="4" t="n">
        <v>7</v>
      </c>
      <c r="L35" s="4">
        <f>IF(OR(C35&lt;&gt;C34,K35="",K34=""),"",K35-K34)</f>
        <v/>
      </c>
      <c r="M35" s="4">
        <f>IF(L35="","",IF(L35=0,"repeat",IF(ABS(L35)&lt;=2,"step","leap")))</f>
        <v/>
      </c>
      <c r="N35" s="4">
        <f>IF(F35&lt;&gt;F34,"Y","")</f>
        <v/>
      </c>
      <c r="O35" s="5" t="inlineStr">
        <is>
          <t>N</t>
        </is>
      </c>
      <c r="P35" s="5" t="inlineStr">
        <is>
          <t>u</t>
        </is>
      </c>
      <c r="Q35" s="5" t="inlineStr">
        <is>
          <t>open</t>
        </is>
      </c>
      <c r="R35" s="6" t="n"/>
      <c r="S35" s="4" t="n"/>
      <c r="T35" s="4" t="n"/>
      <c r="U35" s="7" t="inlineStr"/>
    </row>
    <row r="36">
      <c r="A36" s="4" t="inlineStr">
        <is>
          <t>verse</t>
        </is>
      </c>
      <c r="B36" s="4" t="inlineStr">
        <is>
          <t>hook2</t>
        </is>
      </c>
      <c r="C36" s="4" t="inlineStr">
        <is>
          <t>lead</t>
        </is>
      </c>
      <c r="D36" s="4" t="n">
        <v>10</v>
      </c>
      <c r="E36" s="4" t="n">
        <v>1</v>
      </c>
      <c r="F36" s="4" t="inlineStr">
        <is>
          <t>V7</t>
        </is>
      </c>
      <c r="G36" s="4" t="inlineStr">
        <is>
          <t>D7</t>
        </is>
      </c>
      <c r="H36" s="4" t="inlineStr">
        <is>
          <t>D</t>
        </is>
      </c>
      <c r="I36" s="4" t="inlineStr">
        <is>
          <t>5</t>
        </is>
      </c>
      <c r="J36" s="4" t="inlineStr">
        <is>
          <t>D4</t>
        </is>
      </c>
      <c r="K36" s="4" t="n">
        <v>7</v>
      </c>
      <c r="L36" s="4">
        <f>IF(OR(C36&lt;&gt;C35,K36="",K35=""),"",K36-K35)</f>
        <v/>
      </c>
      <c r="M36" s="4">
        <f>IF(L36="","",IF(L36=0,"repeat",IF(ABS(L36)&lt;=2,"step","leap")))</f>
        <v/>
      </c>
      <c r="N36" s="4">
        <f>IF(F36&lt;&gt;F35,"Y","")</f>
        <v/>
      </c>
      <c r="O36" s="5" t="inlineStr">
        <is>
          <t>Y</t>
        </is>
      </c>
      <c r="P36" s="5" t="inlineStr">
        <is>
          <t>S</t>
        </is>
      </c>
      <c r="Q36" s="5" t="inlineStr">
        <is>
          <t>open</t>
        </is>
      </c>
      <c r="R36" s="6" t="n"/>
      <c r="S36" s="4" t="n"/>
      <c r="T36" s="4" t="n"/>
      <c r="U36" s="7" t="inlineStr"/>
    </row>
    <row r="37">
      <c r="A37" s="4" t="inlineStr">
        <is>
          <t>verse</t>
        </is>
      </c>
      <c r="B37" s="4" t="inlineStr">
        <is>
          <t>hook2</t>
        </is>
      </c>
      <c r="C37" s="4" t="inlineStr">
        <is>
          <t>lead</t>
        </is>
      </c>
      <c r="D37" s="4" t="n">
        <v>10</v>
      </c>
      <c r="E37" s="4" t="n">
        <v>3</v>
      </c>
      <c r="F37" s="4" t="inlineStr">
        <is>
          <t>V7</t>
        </is>
      </c>
      <c r="G37" s="4" t="inlineStr">
        <is>
          <t>D7</t>
        </is>
      </c>
      <c r="H37" s="4" t="inlineStr">
        <is>
          <t>D</t>
        </is>
      </c>
      <c r="I37" s="4" t="inlineStr">
        <is>
          <t>4</t>
        </is>
      </c>
      <c r="J37" s="4" t="inlineStr">
        <is>
          <t>C4</t>
        </is>
      </c>
      <c r="K37" s="4" t="n">
        <v>5</v>
      </c>
      <c r="L37" s="4">
        <f>IF(OR(C37&lt;&gt;C36,K37="",K36=""),"",K37-K36)</f>
        <v/>
      </c>
      <c r="M37" s="4">
        <f>IF(L37="","",IF(L37=0,"repeat",IF(ABS(L37)&lt;=2,"step","leap")))</f>
        <v/>
      </c>
      <c r="N37" s="4">
        <f>IF(F37&lt;&gt;F36,"Y","")</f>
        <v/>
      </c>
      <c r="O37" s="5" t="inlineStr">
        <is>
          <t>N</t>
        </is>
      </c>
      <c r="P37" s="5" t="inlineStr">
        <is>
          <t>u</t>
        </is>
      </c>
      <c r="Q37" s="5" t="inlineStr">
        <is>
          <t>open</t>
        </is>
      </c>
      <c r="R37" s="6" t="n"/>
      <c r="S37" s="4" t="n"/>
      <c r="T37" s="4" t="n"/>
      <c r="U37" s="7" t="inlineStr">
        <is>
          <t>approx - transitional note into the melisma</t>
        </is>
      </c>
    </row>
    <row r="38">
      <c r="A38" s="4" t="inlineStr">
        <is>
          <t>verse</t>
        </is>
      </c>
      <c r="B38" s="4" t="inlineStr">
        <is>
          <t>hook2</t>
        </is>
      </c>
      <c r="C38" s="4" t="inlineStr">
        <is>
          <t>lead</t>
        </is>
      </c>
      <c r="D38" s="4" t="n">
        <v>11</v>
      </c>
      <c r="E38" s="4" t="n">
        <v>1</v>
      </c>
      <c r="F38" s="4" t="inlineStr">
        <is>
          <t>I</t>
        </is>
      </c>
      <c r="G38" s="4" t="inlineStr">
        <is>
          <t>G</t>
        </is>
      </c>
      <c r="H38" s="4" t="inlineStr">
        <is>
          <t>T</t>
        </is>
      </c>
      <c r="I38" s="4" t="inlineStr">
        <is>
          <t>3</t>
        </is>
      </c>
      <c r="J38" s="4" t="inlineStr">
        <is>
          <t>B3</t>
        </is>
      </c>
      <c r="K38" s="4" t="n">
        <v>4</v>
      </c>
      <c r="L38" s="4">
        <f>IF(OR(C38&lt;&gt;C37,K38="",K37=""),"",K38-K37)</f>
        <v/>
      </c>
      <c r="M38" s="4">
        <f>IF(L38="","",IF(L38=0,"repeat",IF(ABS(L38)&lt;=2,"step","leap")))</f>
        <v/>
      </c>
      <c r="N38" s="4">
        <f>IF(F38&lt;&gt;F37,"Y","")</f>
        <v/>
      </c>
      <c r="O38" s="5" t="inlineStr">
        <is>
          <t>Y</t>
        </is>
      </c>
      <c r="P38" s="5" t="inlineStr">
        <is>
          <t>S</t>
        </is>
      </c>
      <c r="Q38" s="5" t="inlineStr">
        <is>
          <t>open</t>
        </is>
      </c>
      <c r="R38" s="6" t="n"/>
      <c r="S38" s="4" t="inlineStr">
        <is>
          <t>5</t>
        </is>
      </c>
      <c r="T38" s="4" t="inlineStr">
        <is>
          <t>3rd above</t>
        </is>
      </c>
      <c r="U38" s="7" t="inlineStr">
        <is>
          <t>title word melisma in stacked 3rds (B+D)</t>
        </is>
      </c>
    </row>
    <row r="39">
      <c r="A39" s="4" t="inlineStr">
        <is>
          <t>verse</t>
        </is>
      </c>
      <c r="B39" s="4" t="inlineStr">
        <is>
          <t>hook2</t>
        </is>
      </c>
      <c r="C39" s="4" t="inlineStr">
        <is>
          <t>lead</t>
        </is>
      </c>
      <c r="D39" s="4" t="n">
        <v>11</v>
      </c>
      <c r="E39" s="4" t="n">
        <v>2.5</v>
      </c>
      <c r="F39" s="4" t="inlineStr">
        <is>
          <t>I</t>
        </is>
      </c>
      <c r="G39" s="4" t="inlineStr">
        <is>
          <t>G</t>
        </is>
      </c>
      <c r="H39" s="4" t="inlineStr">
        <is>
          <t>T</t>
        </is>
      </c>
      <c r="I39" s="4" t="inlineStr">
        <is>
          <t>3</t>
        </is>
      </c>
      <c r="J39" s="4" t="inlineStr">
        <is>
          <t>B3</t>
        </is>
      </c>
      <c r="K39" s="4" t="n">
        <v>4</v>
      </c>
      <c r="L39" s="4">
        <f>IF(OR(C39&lt;&gt;C38,K39="",K38=""),"",K39-K38)</f>
        <v/>
      </c>
      <c r="M39" s="4">
        <f>IF(L39="","",IF(L39=0,"repeat",IF(ABS(L39)&lt;=2,"step","leap")))</f>
        <v/>
      </c>
      <c r="N39" s="4">
        <f>IF(F39&lt;&gt;F38,"Y","")</f>
        <v/>
      </c>
      <c r="O39" s="5" t="inlineStr">
        <is>
          <t>Y</t>
        </is>
      </c>
      <c r="P39" s="5" t="inlineStr">
        <is>
          <t>u</t>
        </is>
      </c>
      <c r="Q39" s="5" t="inlineStr">
        <is>
          <t>open</t>
        </is>
      </c>
      <c r="R39" s="6" t="n"/>
      <c r="S39" s="4" t="inlineStr">
        <is>
          <t>5</t>
        </is>
      </c>
      <c r="T39" s="4" t="inlineStr">
        <is>
          <t>3rd above</t>
        </is>
      </c>
      <c r="U39" s="7" t="inlineStr"/>
    </row>
    <row r="40">
      <c r="A40" s="4" t="inlineStr">
        <is>
          <t>verse</t>
        </is>
      </c>
      <c r="B40" s="4" t="inlineStr">
        <is>
          <t>hook2</t>
        </is>
      </c>
      <c r="C40" s="4" t="inlineStr">
        <is>
          <t>lead</t>
        </is>
      </c>
      <c r="D40" s="4" t="n">
        <v>11</v>
      </c>
      <c r="E40" s="4" t="n">
        <v>3</v>
      </c>
      <c r="F40" s="4" t="inlineStr">
        <is>
          <t>I</t>
        </is>
      </c>
      <c r="G40" s="4" t="inlineStr">
        <is>
          <t>G</t>
        </is>
      </c>
      <c r="H40" s="4" t="inlineStr">
        <is>
          <t>T</t>
        </is>
      </c>
      <c r="I40" s="4" t="inlineStr">
        <is>
          <t>2</t>
        </is>
      </c>
      <c r="J40" s="4" t="inlineStr">
        <is>
          <t>A3</t>
        </is>
      </c>
      <c r="K40" s="4" t="n">
        <v>2</v>
      </c>
      <c r="L40" s="4">
        <f>IF(OR(C40&lt;&gt;C39,K40="",K39=""),"",K40-K39)</f>
        <v/>
      </c>
      <c r="M40" s="4">
        <f>IF(L40="","",IF(L40=0,"repeat",IF(ABS(L40)&lt;=2,"step","leap")))</f>
        <v/>
      </c>
      <c r="N40" s="4">
        <f>IF(F40&lt;&gt;F39,"Y","")</f>
        <v/>
      </c>
      <c r="O40" s="5" t="inlineStr">
        <is>
          <t>N</t>
        </is>
      </c>
      <c r="P40" s="5" t="inlineStr">
        <is>
          <t>u</t>
        </is>
      </c>
      <c r="Q40" s="5" t="inlineStr">
        <is>
          <t>open</t>
        </is>
      </c>
      <c r="R40" s="6" t="n"/>
      <c r="S40" s="4" t="inlineStr">
        <is>
          <t>4</t>
        </is>
      </c>
      <c r="T40" s="4" t="inlineStr">
        <is>
          <t>3rd above</t>
        </is>
      </c>
      <c r="U40" s="7" t="inlineStr">
        <is>
          <t>(A+C) passing stack</t>
        </is>
      </c>
    </row>
    <row r="41">
      <c r="A41" s="4" t="inlineStr">
        <is>
          <t>verse</t>
        </is>
      </c>
      <c r="B41" s="4" t="inlineStr">
        <is>
          <t>hook2</t>
        </is>
      </c>
      <c r="C41" s="4" t="inlineStr">
        <is>
          <t>lead</t>
        </is>
      </c>
      <c r="D41" s="4" t="n">
        <v>11</v>
      </c>
      <c r="E41" s="4" t="n">
        <v>4</v>
      </c>
      <c r="F41" s="4" t="inlineStr">
        <is>
          <t>vi</t>
        </is>
      </c>
      <c r="G41" s="4" t="inlineStr">
        <is>
          <t>Em</t>
        </is>
      </c>
      <c r="H41" s="4" t="inlineStr">
        <is>
          <t>T</t>
        </is>
      </c>
      <c r="I41" s="4" t="inlineStr">
        <is>
          <t>1</t>
        </is>
      </c>
      <c r="J41" s="4" t="inlineStr">
        <is>
          <t>G3</t>
        </is>
      </c>
      <c r="K41" s="4" t="n">
        <v>0</v>
      </c>
      <c r="L41" s="4">
        <f>IF(OR(C41&lt;&gt;C40,K41="",K40=""),"",K41-K40)</f>
        <v/>
      </c>
      <c r="M41" s="4">
        <f>IF(L41="","",IF(L41=0,"repeat",IF(ABS(L41)&lt;=2,"step","leap")))</f>
        <v/>
      </c>
      <c r="N41" s="4">
        <f>IF(F41&lt;&gt;F40,"Y","")</f>
        <v/>
      </c>
      <c r="O41" s="5" t="inlineStr">
        <is>
          <t>N</t>
        </is>
      </c>
      <c r="P41" s="5" t="inlineStr">
        <is>
          <t>S</t>
        </is>
      </c>
      <c r="Q41" s="5" t="inlineStr">
        <is>
          <t>open</t>
        </is>
      </c>
      <c r="R41" s="6" t="n"/>
      <c r="S41" s="4" t="inlineStr">
        <is>
          <t>3</t>
        </is>
      </c>
      <c r="T41" s="4" t="inlineStr">
        <is>
          <t>3rd above</t>
        </is>
      </c>
      <c r="U41" s="7" t="inlineStr">
        <is>
          <t>melisma settles on 1 over vi - soft landing, not final</t>
        </is>
      </c>
    </row>
    <row r="42">
      <c r="A42" s="4" t="inlineStr">
        <is>
          <t>verse</t>
        </is>
      </c>
      <c r="B42" s="4" t="inlineStr">
        <is>
          <t>hook3</t>
        </is>
      </c>
      <c r="C42" s="4" t="inlineStr">
        <is>
          <t>lead</t>
        </is>
      </c>
      <c r="D42" s="4" t="n">
        <v>12</v>
      </c>
      <c r="E42" s="4" t="n">
        <v>1.5</v>
      </c>
      <c r="F42" s="4" t="inlineStr">
        <is>
          <t>IV</t>
        </is>
      </c>
      <c r="G42" s="4" t="inlineStr">
        <is>
          <t>C</t>
        </is>
      </c>
      <c r="H42" s="4" t="inlineStr">
        <is>
          <t>PD</t>
        </is>
      </c>
      <c r="I42" s="4" t="inlineStr">
        <is>
          <t>6</t>
        </is>
      </c>
      <c r="J42" s="4" t="inlineStr">
        <is>
          <t>E4</t>
        </is>
      </c>
      <c r="K42" s="4" t="n">
        <v>9</v>
      </c>
      <c r="L42" s="4">
        <f>IF(OR(C42&lt;&gt;C41,K42="",K41=""),"",K42-K41)</f>
        <v/>
      </c>
      <c r="M42" s="4">
        <f>IF(L42="","",IF(L42=0,"repeat",IF(ABS(L42)&lt;=2,"step","leap")))</f>
        <v/>
      </c>
      <c r="N42" s="4">
        <f>IF(F42&lt;&gt;F41,"Y","")</f>
        <v/>
      </c>
      <c r="O42" s="5" t="inlineStr">
        <is>
          <t>N</t>
        </is>
      </c>
      <c r="P42" s="5" t="inlineStr">
        <is>
          <t>S</t>
        </is>
      </c>
      <c r="Q42" s="5" t="inlineStr">
        <is>
          <t>open</t>
        </is>
      </c>
      <c r="R42" s="6" t="n"/>
      <c r="S42" s="4" t="n"/>
      <c r="T42" s="4" t="n"/>
      <c r="U42" s="7" t="inlineStr">
        <is>
          <t>hook repeated</t>
        </is>
      </c>
    </row>
    <row r="43">
      <c r="A43" s="4" t="inlineStr">
        <is>
          <t>verse</t>
        </is>
      </c>
      <c r="B43" s="4" t="inlineStr">
        <is>
          <t>hook3</t>
        </is>
      </c>
      <c r="C43" s="4" t="inlineStr">
        <is>
          <t>lead</t>
        </is>
      </c>
      <c r="D43" s="4" t="n">
        <v>12</v>
      </c>
      <c r="E43" s="4" t="n">
        <v>2</v>
      </c>
      <c r="F43" s="4" t="inlineStr">
        <is>
          <t>IV</t>
        </is>
      </c>
      <c r="G43" s="4" t="inlineStr">
        <is>
          <t>C</t>
        </is>
      </c>
      <c r="H43" s="4" t="inlineStr">
        <is>
          <t>PD</t>
        </is>
      </c>
      <c r="I43" s="4" t="inlineStr">
        <is>
          <t>6</t>
        </is>
      </c>
      <c r="J43" s="4" t="inlineStr">
        <is>
          <t>E4</t>
        </is>
      </c>
      <c r="K43" s="4" t="n">
        <v>9</v>
      </c>
      <c r="L43" s="4">
        <f>IF(OR(C43&lt;&gt;C42,K43="",K42=""),"",K43-K42)</f>
        <v/>
      </c>
      <c r="M43" s="4">
        <f>IF(L43="","",IF(L43=0,"repeat",IF(ABS(L43)&lt;=2,"step","leap")))</f>
        <v/>
      </c>
      <c r="N43" s="4">
        <f>IF(F43&lt;&gt;F42,"Y","")</f>
        <v/>
      </c>
      <c r="O43" s="5" t="inlineStr">
        <is>
          <t>N</t>
        </is>
      </c>
      <c r="P43" s="5" t="inlineStr">
        <is>
          <t>u</t>
        </is>
      </c>
      <c r="Q43" s="5" t="inlineStr">
        <is>
          <t>open</t>
        </is>
      </c>
      <c r="R43" s="6" t="n"/>
      <c r="S43" s="4" t="n"/>
      <c r="T43" s="4" t="n"/>
      <c r="U43" s="7" t="inlineStr"/>
    </row>
    <row r="44">
      <c r="A44" s="4" t="inlineStr">
        <is>
          <t>verse</t>
        </is>
      </c>
      <c r="B44" s="4" t="inlineStr">
        <is>
          <t>hook3</t>
        </is>
      </c>
      <c r="C44" s="4" t="inlineStr">
        <is>
          <t>lead</t>
        </is>
      </c>
      <c r="D44" s="4" t="n">
        <v>12</v>
      </c>
      <c r="E44" s="4" t="n">
        <v>2.5</v>
      </c>
      <c r="F44" s="4" t="inlineStr">
        <is>
          <t>IV</t>
        </is>
      </c>
      <c r="G44" s="4" t="inlineStr">
        <is>
          <t>C</t>
        </is>
      </c>
      <c r="H44" s="4" t="inlineStr">
        <is>
          <t>PD</t>
        </is>
      </c>
      <c r="I44" s="4" t="inlineStr">
        <is>
          <t>5</t>
        </is>
      </c>
      <c r="J44" s="4" t="inlineStr">
        <is>
          <t>D4</t>
        </is>
      </c>
      <c r="K44" s="4" t="n">
        <v>7</v>
      </c>
      <c r="L44" s="4">
        <f>IF(OR(C44&lt;&gt;C43,K44="",K43=""),"",K44-K43)</f>
        <v/>
      </c>
      <c r="M44" s="4">
        <f>IF(L44="","",IF(L44=0,"repeat",IF(ABS(L44)&lt;=2,"step","leap")))</f>
        <v/>
      </c>
      <c r="N44" s="4">
        <f>IF(F44&lt;&gt;F43,"Y","")</f>
        <v/>
      </c>
      <c r="O44" s="5" t="inlineStr">
        <is>
          <t>N</t>
        </is>
      </c>
      <c r="P44" s="5" t="inlineStr">
        <is>
          <t>S</t>
        </is>
      </c>
      <c r="Q44" s="5" t="inlineStr">
        <is>
          <t>open</t>
        </is>
      </c>
      <c r="R44" s="6" t="n"/>
      <c r="S44" s="4" t="n"/>
      <c r="T44" s="4" t="n"/>
      <c r="U44" s="7" t="inlineStr"/>
    </row>
    <row r="45">
      <c r="A45" s="4" t="inlineStr">
        <is>
          <t>verse</t>
        </is>
      </c>
      <c r="B45" s="4" t="inlineStr">
        <is>
          <t>hook3</t>
        </is>
      </c>
      <c r="C45" s="4" t="inlineStr">
        <is>
          <t>lead</t>
        </is>
      </c>
      <c r="D45" s="4" t="n">
        <v>12</v>
      </c>
      <c r="E45" s="4" t="n">
        <v>3</v>
      </c>
      <c r="F45" s="4" t="inlineStr">
        <is>
          <t>IV</t>
        </is>
      </c>
      <c r="G45" s="4" t="inlineStr">
        <is>
          <t>C</t>
        </is>
      </c>
      <c r="H45" s="4" t="inlineStr">
        <is>
          <t>PD</t>
        </is>
      </c>
      <c r="I45" s="4" t="inlineStr">
        <is>
          <t>5</t>
        </is>
      </c>
      <c r="J45" s="4" t="inlineStr">
        <is>
          <t>D4</t>
        </is>
      </c>
      <c r="K45" s="4" t="n">
        <v>7</v>
      </c>
      <c r="L45" s="4">
        <f>IF(OR(C45&lt;&gt;C44,K45="",K44=""),"",K45-K44)</f>
        <v/>
      </c>
      <c r="M45" s="4">
        <f>IF(L45="","",IF(L45=0,"repeat",IF(ABS(L45)&lt;=2,"step","leap")))</f>
        <v/>
      </c>
      <c r="N45" s="4">
        <f>IF(F45&lt;&gt;F44,"Y","")</f>
        <v/>
      </c>
      <c r="O45" s="5" t="inlineStr">
        <is>
          <t>N</t>
        </is>
      </c>
      <c r="P45" s="5" t="inlineStr">
        <is>
          <t>u</t>
        </is>
      </c>
      <c r="Q45" s="5" t="inlineStr">
        <is>
          <t>open</t>
        </is>
      </c>
      <c r="R45" s="6" t="n"/>
      <c r="S45" s="4" t="n"/>
      <c r="T45" s="4" t="n"/>
      <c r="U45" s="7" t="inlineStr"/>
    </row>
    <row r="46">
      <c r="A46" s="4" t="inlineStr">
        <is>
          <t>verse</t>
        </is>
      </c>
      <c r="B46" s="4" t="inlineStr">
        <is>
          <t>hook3</t>
        </is>
      </c>
      <c r="C46" s="4" t="inlineStr">
        <is>
          <t>lead</t>
        </is>
      </c>
      <c r="D46" s="4" t="n">
        <v>13</v>
      </c>
      <c r="E46" s="4" t="n">
        <v>1</v>
      </c>
      <c r="F46" s="4" t="inlineStr">
        <is>
          <t>V7</t>
        </is>
      </c>
      <c r="G46" s="4" t="inlineStr">
        <is>
          <t>D7</t>
        </is>
      </c>
      <c r="H46" s="4" t="inlineStr">
        <is>
          <t>D</t>
        </is>
      </c>
      <c r="I46" s="4" t="inlineStr">
        <is>
          <t>5</t>
        </is>
      </c>
      <c r="J46" s="4" t="inlineStr">
        <is>
          <t>D4</t>
        </is>
      </c>
      <c r="K46" s="4" t="n">
        <v>7</v>
      </c>
      <c r="L46" s="4">
        <f>IF(OR(C46&lt;&gt;C45,K46="",K45=""),"",K46-K45)</f>
        <v/>
      </c>
      <c r="M46" s="4">
        <f>IF(L46="","",IF(L46=0,"repeat",IF(ABS(L46)&lt;=2,"step","leap")))</f>
        <v/>
      </c>
      <c r="N46" s="4">
        <f>IF(F46&lt;&gt;F45,"Y","")</f>
        <v/>
      </c>
      <c r="O46" s="5" t="inlineStr">
        <is>
          <t>Y</t>
        </is>
      </c>
      <c r="P46" s="5" t="inlineStr">
        <is>
          <t>S</t>
        </is>
      </c>
      <c r="Q46" s="5" t="inlineStr">
        <is>
          <t>open</t>
        </is>
      </c>
      <c r="R46" s="6" t="n"/>
      <c r="S46" s="4" t="n"/>
      <c r="T46" s="4" t="n"/>
      <c r="U46" s="7" t="inlineStr"/>
    </row>
    <row r="47">
      <c r="A47" s="4" t="inlineStr">
        <is>
          <t>verse</t>
        </is>
      </c>
      <c r="B47" s="4" t="inlineStr">
        <is>
          <t>hook3</t>
        </is>
      </c>
      <c r="C47" s="4" t="inlineStr">
        <is>
          <t>lead</t>
        </is>
      </c>
      <c r="D47" s="4" t="n">
        <v>13</v>
      </c>
      <c r="E47" s="4" t="n">
        <v>3</v>
      </c>
      <c r="F47" s="4" t="inlineStr">
        <is>
          <t>V7</t>
        </is>
      </c>
      <c r="G47" s="4" t="inlineStr">
        <is>
          <t>D7</t>
        </is>
      </c>
      <c r="H47" s="4" t="inlineStr">
        <is>
          <t>D</t>
        </is>
      </c>
      <c r="I47" s="4" t="inlineStr">
        <is>
          <t>4</t>
        </is>
      </c>
      <c r="J47" s="4" t="inlineStr">
        <is>
          <t>C4</t>
        </is>
      </c>
      <c r="K47" s="4" t="n">
        <v>5</v>
      </c>
      <c r="L47" s="4">
        <f>IF(OR(C47&lt;&gt;C46,K47="",K46=""),"",K47-K46)</f>
        <v/>
      </c>
      <c r="M47" s="4">
        <f>IF(L47="","",IF(L47=0,"repeat",IF(ABS(L47)&lt;=2,"step","leap")))</f>
        <v/>
      </c>
      <c r="N47" s="4">
        <f>IF(F47&lt;&gt;F46,"Y","")</f>
        <v/>
      </c>
      <c r="O47" s="5" t="inlineStr">
        <is>
          <t>N</t>
        </is>
      </c>
      <c r="P47" s="5" t="inlineStr">
        <is>
          <t>u</t>
        </is>
      </c>
      <c r="Q47" s="5" t="inlineStr">
        <is>
          <t>open</t>
        </is>
      </c>
      <c r="R47" s="6" t="n"/>
      <c r="S47" s="4" t="n"/>
      <c r="T47" s="4" t="n"/>
      <c r="U47" s="7" t="inlineStr">
        <is>
          <t>approx</t>
        </is>
      </c>
    </row>
    <row r="48">
      <c r="A48" s="4" t="inlineStr">
        <is>
          <t>verse</t>
        </is>
      </c>
      <c r="B48" s="4" t="inlineStr">
        <is>
          <t>hook3</t>
        </is>
      </c>
      <c r="C48" s="4" t="inlineStr">
        <is>
          <t>lead</t>
        </is>
      </c>
      <c r="D48" s="4" t="n">
        <v>14</v>
      </c>
      <c r="E48" s="4" t="n">
        <v>1</v>
      </c>
      <c r="F48" s="4" t="inlineStr">
        <is>
          <t>I</t>
        </is>
      </c>
      <c r="G48" s="4" t="inlineStr">
        <is>
          <t>G</t>
        </is>
      </c>
      <c r="H48" s="4" t="inlineStr">
        <is>
          <t>T</t>
        </is>
      </c>
      <c r="I48" s="4" t="inlineStr">
        <is>
          <t>3</t>
        </is>
      </c>
      <c r="J48" s="4" t="inlineStr">
        <is>
          <t>B3</t>
        </is>
      </c>
      <c r="K48" s="4" t="n">
        <v>4</v>
      </c>
      <c r="L48" s="4">
        <f>IF(OR(C48&lt;&gt;C47,K48="",K47=""),"",K48-K47)</f>
        <v/>
      </c>
      <c r="M48" s="4">
        <f>IF(L48="","",IF(L48=0,"repeat",IF(ABS(L48)&lt;=2,"step","leap")))</f>
        <v/>
      </c>
      <c r="N48" s="4">
        <f>IF(F48&lt;&gt;F47,"Y","")</f>
        <v/>
      </c>
      <c r="O48" s="5" t="inlineStr">
        <is>
          <t>Y</t>
        </is>
      </c>
      <c r="P48" s="5" t="inlineStr">
        <is>
          <t>S</t>
        </is>
      </c>
      <c r="Q48" s="5" t="inlineStr">
        <is>
          <t>open</t>
        </is>
      </c>
      <c r="R48" s="6" t="n"/>
      <c r="S48" s="4" t="n"/>
      <c r="T48" s="4" t="n"/>
      <c r="U48" s="7" t="inlineStr">
        <is>
          <t>final title word of the verse: plain half note on 3 over I - resolved; verses 2-3 repeat this whole structure</t>
        </is>
      </c>
    </row>
    <row r="49">
      <c r="A49" s="4" t="inlineStr">
        <is>
          <t>bridge</t>
        </is>
      </c>
      <c r="B49" s="4" t="inlineStr">
        <is>
          <t>pickup</t>
        </is>
      </c>
      <c r="C49" s="4" t="inlineStr">
        <is>
          <t>lead</t>
        </is>
      </c>
      <c r="D49" s="4" t="n">
        <v>0</v>
      </c>
      <c r="E49" s="4" t="n">
        <v>3.5</v>
      </c>
      <c r="F49" s="4" t="inlineStr">
        <is>
          <t>v7</t>
        </is>
      </c>
      <c r="G49" s="4" t="inlineStr">
        <is>
          <t>Dm7</t>
        </is>
      </c>
      <c r="H49" s="4" t="inlineStr">
        <is>
          <t>PD</t>
        </is>
      </c>
      <c r="I49" s="4" t="inlineStr">
        <is>
          <t>2</t>
        </is>
      </c>
      <c r="J49" s="4" t="inlineStr">
        <is>
          <t>A3</t>
        </is>
      </c>
      <c r="K49" s="4" t="n">
        <v>2</v>
      </c>
      <c r="L49" s="4">
        <f>IF(OR(C49&lt;&gt;C48,K49="",K48=""),"",K49-K48)</f>
        <v/>
      </c>
      <c r="M49" s="4">
        <f>IF(L49="","",IF(L49=0,"repeat",IF(ABS(L49)&lt;=2,"step","leap")))</f>
        <v/>
      </c>
      <c r="N49" s="4">
        <f>IF(F49&lt;&gt;F48,"Y","")</f>
        <v/>
      </c>
      <c r="O49" s="5" t="inlineStr">
        <is>
          <t>N</t>
        </is>
      </c>
      <c r="P49" s="5" t="inlineStr">
        <is>
          <t>u</t>
        </is>
      </c>
      <c r="Q49" s="5" t="inlineStr">
        <is>
          <t>open</t>
        </is>
      </c>
      <c r="R49" s="6" t="n"/>
      <c r="S49" s="4" t="n"/>
      <c r="T49" s="4" t="n"/>
      <c r="U49" s="7" t="inlineStr">
        <is>
          <t>pickup; harmony voice TACET first bridge (score: 'Upper Part 1x Tacet')</t>
        </is>
      </c>
    </row>
    <row r="50">
      <c r="A50" s="4" t="inlineStr">
        <is>
          <t>bridge</t>
        </is>
      </c>
      <c r="B50" s="4" t="inlineStr">
        <is>
          <t>pickup</t>
        </is>
      </c>
      <c r="C50" s="4" t="inlineStr">
        <is>
          <t>lead</t>
        </is>
      </c>
      <c r="D50" s="4" t="n">
        <v>0</v>
      </c>
      <c r="E50" s="4" t="n">
        <v>4</v>
      </c>
      <c r="F50" s="4" t="inlineStr">
        <is>
          <t>v7</t>
        </is>
      </c>
      <c r="G50" s="4" t="inlineStr">
        <is>
          <t>Dm7</t>
        </is>
      </c>
      <c r="H50" s="4" t="inlineStr">
        <is>
          <t>PD</t>
        </is>
      </c>
      <c r="I50" s="4" t="inlineStr">
        <is>
          <t>2</t>
        </is>
      </c>
      <c r="J50" s="4" t="inlineStr">
        <is>
          <t>A3</t>
        </is>
      </c>
      <c r="K50" s="4" t="n">
        <v>2</v>
      </c>
      <c r="L50" s="4">
        <f>IF(OR(C50&lt;&gt;C49,K50="",K49=""),"",K50-K49)</f>
        <v/>
      </c>
      <c r="M50" s="4">
        <f>IF(L50="","",IF(L50=0,"repeat",IF(ABS(L50)&lt;=2,"step","leap")))</f>
        <v/>
      </c>
      <c r="N50" s="4">
        <f>IF(F50&lt;&gt;F49,"Y","")</f>
        <v/>
      </c>
      <c r="O50" s="5" t="inlineStr">
        <is>
          <t>N</t>
        </is>
      </c>
      <c r="P50" s="5" t="inlineStr">
        <is>
          <t>u</t>
        </is>
      </c>
      <c r="Q50" s="5" t="inlineStr">
        <is>
          <t>closed</t>
        </is>
      </c>
      <c r="R50" s="6" t="n"/>
      <c r="S50" s="4" t="n"/>
      <c r="T50" s="4" t="n"/>
      <c r="U50" s="7" t="inlineStr">
        <is>
          <t>borrowed v7 - Dorian color, new world for the bridge</t>
        </is>
      </c>
    </row>
    <row r="51">
      <c r="A51" s="4" t="inlineStr">
        <is>
          <t>bridge</t>
        </is>
      </c>
      <c r="B51" s="4" t="inlineStr">
        <is>
          <t>pickup</t>
        </is>
      </c>
      <c r="C51" s="4" t="inlineStr">
        <is>
          <t>lead</t>
        </is>
      </c>
      <c r="D51" s="4" t="n">
        <v>0</v>
      </c>
      <c r="E51" s="4" t="n">
        <v>4.5</v>
      </c>
      <c r="F51" s="4" t="inlineStr">
        <is>
          <t>v7</t>
        </is>
      </c>
      <c r="G51" s="4" t="inlineStr">
        <is>
          <t>Dm7</t>
        </is>
      </c>
      <c r="H51" s="4" t="inlineStr">
        <is>
          <t>PD</t>
        </is>
      </c>
      <c r="I51" s="4" t="inlineStr">
        <is>
          <t>2</t>
        </is>
      </c>
      <c r="J51" s="4" t="inlineStr">
        <is>
          <t>A3</t>
        </is>
      </c>
      <c r="K51" s="4" t="n">
        <v>2</v>
      </c>
      <c r="L51" s="4">
        <f>IF(OR(C51&lt;&gt;C50,K51="",K50=""),"",K51-K50)</f>
        <v/>
      </c>
      <c r="M51" s="4">
        <f>IF(L51="","",IF(L51=0,"repeat",IF(ABS(L51)&lt;=2,"step","leap")))</f>
        <v/>
      </c>
      <c r="N51" s="4">
        <f>IF(F51&lt;&gt;F50,"Y","")</f>
        <v/>
      </c>
      <c r="O51" s="5" t="inlineStr">
        <is>
          <t>N</t>
        </is>
      </c>
      <c r="P51" s="5" t="inlineStr">
        <is>
          <t>u</t>
        </is>
      </c>
      <c r="Q51" s="5" t="inlineStr">
        <is>
          <t>open</t>
        </is>
      </c>
      <c r="R51" s="6" t="n"/>
      <c r="S51" s="4" t="n"/>
      <c r="T51" s="4" t="n"/>
      <c r="U51" s="7" t="inlineStr">
        <is>
          <t>approx</t>
        </is>
      </c>
    </row>
    <row r="52">
      <c r="A52" s="4" t="inlineStr">
        <is>
          <t>bridge</t>
        </is>
      </c>
      <c r="B52" s="4" t="inlineStr">
        <is>
          <t>B1</t>
        </is>
      </c>
      <c r="C52" s="4" t="inlineStr">
        <is>
          <t>lead</t>
        </is>
      </c>
      <c r="D52" s="4" t="n">
        <v>1</v>
      </c>
      <c r="E52" s="4" t="n">
        <v>1</v>
      </c>
      <c r="F52" s="4" t="inlineStr">
        <is>
          <t>V7/IV</t>
        </is>
      </c>
      <c r="G52" s="4" t="inlineStr">
        <is>
          <t>G7</t>
        </is>
      </c>
      <c r="H52" s="4" t="inlineStr">
        <is>
          <t>D</t>
        </is>
      </c>
      <c r="I52" s="4" t="inlineStr">
        <is>
          <t>5</t>
        </is>
      </c>
      <c r="J52" s="4" t="inlineStr">
        <is>
          <t>D4</t>
        </is>
      </c>
      <c r="K52" s="4" t="n">
        <v>7</v>
      </c>
      <c r="L52" s="4">
        <f>IF(OR(C52&lt;&gt;C51,K52="",K51=""),"",K52-K51)</f>
        <v/>
      </c>
      <c r="M52" s="4">
        <f>IF(L52="","",IF(L52=0,"repeat",IF(ABS(L52)&lt;=2,"step","leap")))</f>
        <v/>
      </c>
      <c r="N52" s="4">
        <f>IF(F52&lt;&gt;F51,"Y","")</f>
        <v/>
      </c>
      <c r="O52" s="5" t="inlineStr">
        <is>
          <t>Y</t>
        </is>
      </c>
      <c r="P52" s="5" t="inlineStr">
        <is>
          <t>S</t>
        </is>
      </c>
      <c r="Q52" s="5" t="inlineStr">
        <is>
          <t>open</t>
        </is>
      </c>
      <c r="R52" s="6" t="n"/>
      <c r="S52" s="4" t="inlineStr">
        <is>
          <t>b7</t>
        </is>
      </c>
      <c r="T52" s="4" t="inlineStr">
        <is>
          <t>3rd above</t>
        </is>
      </c>
      <c r="U52" s="7" t="inlineStr">
        <is>
          <t>stacked 3rds when harmony joins (2nd bridge): (D+F)</t>
        </is>
      </c>
    </row>
    <row r="53">
      <c r="A53" s="4" t="inlineStr">
        <is>
          <t>bridge</t>
        </is>
      </c>
      <c r="B53" s="4" t="inlineStr">
        <is>
          <t>B1</t>
        </is>
      </c>
      <c r="C53" s="4" t="inlineStr">
        <is>
          <t>lead</t>
        </is>
      </c>
      <c r="D53" s="4" t="n">
        <v>1</v>
      </c>
      <c r="E53" s="4" t="n">
        <v>2</v>
      </c>
      <c r="F53" s="4" t="inlineStr">
        <is>
          <t>V7/IV</t>
        </is>
      </c>
      <c r="G53" s="4" t="inlineStr">
        <is>
          <t>G7</t>
        </is>
      </c>
      <c r="H53" s="4" t="inlineStr">
        <is>
          <t>D</t>
        </is>
      </c>
      <c r="I53" s="4" t="inlineStr">
        <is>
          <t>4</t>
        </is>
      </c>
      <c r="J53" s="4" t="inlineStr">
        <is>
          <t>C4</t>
        </is>
      </c>
      <c r="K53" s="4" t="n">
        <v>5</v>
      </c>
      <c r="L53" s="4">
        <f>IF(OR(C53&lt;&gt;C52,K53="",K52=""),"",K53-K52)</f>
        <v/>
      </c>
      <c r="M53" s="4">
        <f>IF(L53="","",IF(L53=0,"repeat",IF(ABS(L53)&lt;=2,"step","leap")))</f>
        <v/>
      </c>
      <c r="N53" s="4">
        <f>IF(F53&lt;&gt;F52,"Y","")</f>
        <v/>
      </c>
      <c r="O53" s="5" t="inlineStr">
        <is>
          <t>N</t>
        </is>
      </c>
      <c r="P53" s="5" t="inlineStr">
        <is>
          <t>u</t>
        </is>
      </c>
      <c r="Q53" s="5" t="inlineStr">
        <is>
          <t>open</t>
        </is>
      </c>
      <c r="R53" s="6" t="n"/>
      <c r="S53" s="4" t="inlineStr">
        <is>
          <t>6</t>
        </is>
      </c>
      <c r="T53" s="4" t="inlineStr">
        <is>
          <t>3rd above</t>
        </is>
      </c>
      <c r="U53" s="7" t="inlineStr"/>
    </row>
    <row r="54">
      <c r="A54" s="4" t="inlineStr">
        <is>
          <t>bridge</t>
        </is>
      </c>
      <c r="B54" s="4" t="inlineStr">
        <is>
          <t>B1</t>
        </is>
      </c>
      <c r="C54" s="4" t="inlineStr">
        <is>
          <t>lead</t>
        </is>
      </c>
      <c r="D54" s="4" t="n">
        <v>1</v>
      </c>
      <c r="E54" s="4" t="n">
        <v>3</v>
      </c>
      <c r="F54" s="4" t="inlineStr">
        <is>
          <t>V7/IV</t>
        </is>
      </c>
      <c r="G54" s="4" t="inlineStr">
        <is>
          <t>G7</t>
        </is>
      </c>
      <c r="H54" s="4" t="inlineStr">
        <is>
          <t>D</t>
        </is>
      </c>
      <c r="I54" s="4" t="inlineStr">
        <is>
          <t>3</t>
        </is>
      </c>
      <c r="J54" s="4" t="inlineStr">
        <is>
          <t>B3</t>
        </is>
      </c>
      <c r="K54" s="4" t="n">
        <v>4</v>
      </c>
      <c r="L54" s="4">
        <f>IF(OR(C54&lt;&gt;C53,K54="",K53=""),"",K54-K53)</f>
        <v/>
      </c>
      <c r="M54" s="4">
        <f>IF(L54="","",IF(L54=0,"repeat",IF(ABS(L54)&lt;=2,"step","leap")))</f>
        <v/>
      </c>
      <c r="N54" s="4">
        <f>IF(F54&lt;&gt;F53,"Y","")</f>
        <v/>
      </c>
      <c r="O54" s="5" t="inlineStr">
        <is>
          <t>Y</t>
        </is>
      </c>
      <c r="P54" s="5" t="inlineStr">
        <is>
          <t>S</t>
        </is>
      </c>
      <c r="Q54" s="5" t="inlineStr">
        <is>
          <t>closed</t>
        </is>
      </c>
      <c r="R54" s="6" t="n"/>
      <c r="S54" s="4" t="inlineStr">
        <is>
          <t>5</t>
        </is>
      </c>
      <c r="T54" s="4" t="inlineStr">
        <is>
          <t>3rd above</t>
        </is>
      </c>
      <c r="U54" s="7" t="inlineStr"/>
    </row>
    <row r="55">
      <c r="A55" s="4" t="inlineStr">
        <is>
          <t>bridge</t>
        </is>
      </c>
      <c r="B55" s="4" t="inlineStr">
        <is>
          <t>B1</t>
        </is>
      </c>
      <c r="C55" s="4" t="inlineStr">
        <is>
          <t>lead</t>
        </is>
      </c>
      <c r="D55" s="4" t="n">
        <v>1</v>
      </c>
      <c r="E55" s="4" t="n">
        <v>4</v>
      </c>
      <c r="F55" s="4" t="inlineStr">
        <is>
          <t>V7/IV</t>
        </is>
      </c>
      <c r="G55" s="4" t="inlineStr">
        <is>
          <t>G7</t>
        </is>
      </c>
      <c r="H55" s="4" t="inlineStr">
        <is>
          <t>D</t>
        </is>
      </c>
      <c r="I55" s="4" t="inlineStr">
        <is>
          <t>3</t>
        </is>
      </c>
      <c r="J55" s="4" t="inlineStr">
        <is>
          <t>B3</t>
        </is>
      </c>
      <c r="K55" s="4" t="n">
        <v>4</v>
      </c>
      <c r="L55" s="4">
        <f>IF(OR(C55&lt;&gt;C54,K55="",K54=""),"",K55-K54)</f>
        <v/>
      </c>
      <c r="M55" s="4">
        <f>IF(L55="","",IF(L55=0,"repeat",IF(ABS(L55)&lt;=2,"step","leap")))</f>
        <v/>
      </c>
      <c r="N55" s="4">
        <f>IF(F55&lt;&gt;F54,"Y","")</f>
        <v/>
      </c>
      <c r="O55" s="5" t="inlineStr">
        <is>
          <t>Y</t>
        </is>
      </c>
      <c r="P55" s="5" t="inlineStr">
        <is>
          <t>u</t>
        </is>
      </c>
      <c r="Q55" s="5" t="inlineStr">
        <is>
          <t>open</t>
        </is>
      </c>
      <c r="R55" s="6" t="n"/>
      <c r="S55" s="4" t="inlineStr">
        <is>
          <t>5</t>
        </is>
      </c>
      <c r="T55" s="4" t="inlineStr">
        <is>
          <t>3rd above</t>
        </is>
      </c>
      <c r="U55" s="7" t="inlineStr"/>
    </row>
    <row r="56">
      <c r="A56" s="4" t="inlineStr">
        <is>
          <t>bridge</t>
        </is>
      </c>
      <c r="B56" s="4" t="inlineStr">
        <is>
          <t>B1</t>
        </is>
      </c>
      <c r="C56" s="4" t="inlineStr">
        <is>
          <t>lead</t>
        </is>
      </c>
      <c r="D56" s="4" t="n">
        <v>2</v>
      </c>
      <c r="E56" s="4" t="n">
        <v>1</v>
      </c>
      <c r="F56" s="4" t="inlineStr">
        <is>
          <t>IV</t>
        </is>
      </c>
      <c r="G56" s="4" t="inlineStr">
        <is>
          <t>C</t>
        </is>
      </c>
      <c r="H56" s="4" t="inlineStr">
        <is>
          <t>PD</t>
        </is>
      </c>
      <c r="I56" s="4" t="inlineStr">
        <is>
          <t>4</t>
        </is>
      </c>
      <c r="J56" s="4" t="inlineStr">
        <is>
          <t>C4</t>
        </is>
      </c>
      <c r="K56" s="4" t="n">
        <v>5</v>
      </c>
      <c r="L56" s="4">
        <f>IF(OR(C56&lt;&gt;C55,K56="",K55=""),"",K56-K55)</f>
        <v/>
      </c>
      <c r="M56" s="4">
        <f>IF(L56="","",IF(L56=0,"repeat",IF(ABS(L56)&lt;=2,"step","leap")))</f>
        <v/>
      </c>
      <c r="N56" s="4">
        <f>IF(F56&lt;&gt;F55,"Y","")</f>
        <v/>
      </c>
      <c r="O56" s="5" t="inlineStr">
        <is>
          <t>Y</t>
        </is>
      </c>
      <c r="P56" s="5" t="inlineStr">
        <is>
          <t>S</t>
        </is>
      </c>
      <c r="Q56" s="5" t="inlineStr">
        <is>
          <t>open</t>
        </is>
      </c>
      <c r="R56" s="6" t="n"/>
      <c r="S56" s="4" t="inlineStr">
        <is>
          <t>6</t>
        </is>
      </c>
      <c r="T56" s="4" t="inlineStr">
        <is>
          <t>3rd above</t>
        </is>
      </c>
      <c r="U56" s="7" t="inlineStr">
        <is>
          <t>tonicized IV: melody on its root</t>
        </is>
      </c>
    </row>
    <row r="57">
      <c r="A57" s="4" t="inlineStr">
        <is>
          <t>bridge</t>
        </is>
      </c>
      <c r="B57" s="4" t="inlineStr">
        <is>
          <t>B1</t>
        </is>
      </c>
      <c r="C57" s="4" t="inlineStr">
        <is>
          <t>lead</t>
        </is>
      </c>
      <c r="D57" s="4" t="n">
        <v>2</v>
      </c>
      <c r="E57" s="4" t="n">
        <v>1.5</v>
      </c>
      <c r="F57" s="4" t="inlineStr">
        <is>
          <t>IV</t>
        </is>
      </c>
      <c r="G57" s="4" t="inlineStr">
        <is>
          <t>C</t>
        </is>
      </c>
      <c r="H57" s="4" t="inlineStr">
        <is>
          <t>PD</t>
        </is>
      </c>
      <c r="I57" s="4" t="inlineStr">
        <is>
          <t>4</t>
        </is>
      </c>
      <c r="J57" s="4" t="inlineStr">
        <is>
          <t>C4</t>
        </is>
      </c>
      <c r="K57" s="4" t="n">
        <v>5</v>
      </c>
      <c r="L57" s="4">
        <f>IF(OR(C57&lt;&gt;C56,K57="",K56=""),"",K57-K56)</f>
        <v/>
      </c>
      <c r="M57" s="4">
        <f>IF(L57="","",IF(L57=0,"repeat",IF(ABS(L57)&lt;=2,"step","leap")))</f>
        <v/>
      </c>
      <c r="N57" s="4">
        <f>IF(F57&lt;&gt;F56,"Y","")</f>
        <v/>
      </c>
      <c r="O57" s="5" t="inlineStr">
        <is>
          <t>Y</t>
        </is>
      </c>
      <c r="P57" s="5" t="inlineStr">
        <is>
          <t>u</t>
        </is>
      </c>
      <c r="Q57" s="5" t="inlineStr">
        <is>
          <t>closed</t>
        </is>
      </c>
      <c r="R57" s="6" t="n"/>
      <c r="S57" s="4" t="inlineStr">
        <is>
          <t>6</t>
        </is>
      </c>
      <c r="T57" s="4" t="inlineStr">
        <is>
          <t>3rd above</t>
        </is>
      </c>
      <c r="U57" s="7" t="inlineStr"/>
    </row>
    <row r="58">
      <c r="A58" s="4" t="inlineStr">
        <is>
          <t>bridge</t>
        </is>
      </c>
      <c r="B58" s="4" t="inlineStr">
        <is>
          <t>B1</t>
        </is>
      </c>
      <c r="C58" s="4" t="inlineStr">
        <is>
          <t>lead</t>
        </is>
      </c>
      <c r="D58" s="4" t="n">
        <v>2</v>
      </c>
      <c r="E58" s="4" t="n">
        <v>3</v>
      </c>
      <c r="F58" s="4" t="inlineStr">
        <is>
          <t>IV</t>
        </is>
      </c>
      <c r="G58" s="4" t="inlineStr">
        <is>
          <t>C</t>
        </is>
      </c>
      <c r="H58" s="4" t="inlineStr">
        <is>
          <t>PD</t>
        </is>
      </c>
      <c r="I58" s="4" t="inlineStr">
        <is>
          <t>3</t>
        </is>
      </c>
      <c r="J58" s="4" t="inlineStr">
        <is>
          <t>B3</t>
        </is>
      </c>
      <c r="K58" s="4" t="n">
        <v>4</v>
      </c>
      <c r="L58" s="4">
        <f>IF(OR(C58&lt;&gt;C57,K58="",K57=""),"",K58-K57)</f>
        <v/>
      </c>
      <c r="M58" s="4">
        <f>IF(L58="","",IF(L58=0,"repeat",IF(ABS(L58)&lt;=2,"step","leap")))</f>
        <v/>
      </c>
      <c r="N58" s="4">
        <f>IF(F58&lt;&gt;F57,"Y","")</f>
        <v/>
      </c>
      <c r="O58" s="5" t="inlineStr">
        <is>
          <t>N</t>
        </is>
      </c>
      <c r="P58" s="5" t="inlineStr">
        <is>
          <t>S</t>
        </is>
      </c>
      <c r="Q58" s="5" t="inlineStr">
        <is>
          <t>closed</t>
        </is>
      </c>
      <c r="R58" s="6" t="n"/>
      <c r="S58" s="4" t="inlineStr">
        <is>
          <t>5</t>
        </is>
      </c>
      <c r="T58" s="4" t="inlineStr">
        <is>
          <t>3rd above</t>
        </is>
      </c>
      <c r="U58" s="7" t="inlineStr"/>
    </row>
    <row r="59">
      <c r="A59" s="4" t="inlineStr">
        <is>
          <t>bridge</t>
        </is>
      </c>
      <c r="B59" s="4" t="inlineStr">
        <is>
          <t>B1</t>
        </is>
      </c>
      <c r="C59" s="4" t="inlineStr">
        <is>
          <t>lead</t>
        </is>
      </c>
      <c r="D59" s="4" t="n">
        <v>2</v>
      </c>
      <c r="E59" s="4" t="n">
        <v>3.5</v>
      </c>
      <c r="F59" s="4" t="inlineStr">
        <is>
          <t>IV</t>
        </is>
      </c>
      <c r="G59" s="4" t="inlineStr">
        <is>
          <t>C</t>
        </is>
      </c>
      <c r="H59" s="4" t="inlineStr">
        <is>
          <t>PD</t>
        </is>
      </c>
      <c r="I59" s="4" t="inlineStr">
        <is>
          <t>4</t>
        </is>
      </c>
      <c r="J59" s="4" t="inlineStr">
        <is>
          <t>C4</t>
        </is>
      </c>
      <c r="K59" s="4" t="n">
        <v>5</v>
      </c>
      <c r="L59" s="4">
        <f>IF(OR(C59&lt;&gt;C58,K59="",K58=""),"",K59-K58)</f>
        <v/>
      </c>
      <c r="M59" s="4">
        <f>IF(L59="","",IF(L59=0,"repeat",IF(ABS(L59)&lt;=2,"step","leap")))</f>
        <v/>
      </c>
      <c r="N59" s="4">
        <f>IF(F59&lt;&gt;F58,"Y","")</f>
        <v/>
      </c>
      <c r="O59" s="5" t="inlineStr">
        <is>
          <t>N</t>
        </is>
      </c>
      <c r="P59" s="5" t="inlineStr">
        <is>
          <t>u</t>
        </is>
      </c>
      <c r="Q59" s="5" t="inlineStr">
        <is>
          <t>open</t>
        </is>
      </c>
      <c r="R59" s="6" t="n"/>
      <c r="S59" s="4" t="inlineStr">
        <is>
          <t>6</t>
        </is>
      </c>
      <c r="T59" s="4" t="inlineStr">
        <is>
          <t>3rd above</t>
        </is>
      </c>
      <c r="U59" s="7" t="inlineStr">
        <is>
          <t>tied into vi bar - held whole-note stack</t>
        </is>
      </c>
    </row>
    <row r="60">
      <c r="A60" s="4" t="inlineStr">
        <is>
          <t>bridge</t>
        </is>
      </c>
      <c r="B60" s="4" t="inlineStr">
        <is>
          <t>B2</t>
        </is>
      </c>
      <c r="C60" s="4" t="inlineStr">
        <is>
          <t>lead</t>
        </is>
      </c>
      <c r="D60" s="4" t="n">
        <v>4</v>
      </c>
      <c r="E60" s="4" t="n">
        <v>2</v>
      </c>
      <c r="F60" s="4" t="inlineStr">
        <is>
          <t>v7</t>
        </is>
      </c>
      <c r="G60" s="4" t="inlineStr">
        <is>
          <t>Dm7</t>
        </is>
      </c>
      <c r="H60" s="4" t="inlineStr">
        <is>
          <t>PD</t>
        </is>
      </c>
      <c r="I60" s="4" t="inlineStr">
        <is>
          <t>2</t>
        </is>
      </c>
      <c r="J60" s="4" t="inlineStr">
        <is>
          <t>A3</t>
        </is>
      </c>
      <c r="K60" s="4" t="n">
        <v>2</v>
      </c>
      <c r="L60" s="4">
        <f>IF(OR(C60&lt;&gt;C59,K60="",K59=""),"",K60-K59)</f>
        <v/>
      </c>
      <c r="M60" s="4">
        <f>IF(L60="","",IF(L60=0,"repeat",IF(ABS(L60)&lt;=2,"step","leap")))</f>
        <v/>
      </c>
      <c r="N60" s="4">
        <f>IF(F60&lt;&gt;F59,"Y","")</f>
        <v/>
      </c>
      <c r="O60" s="5" t="inlineStr">
        <is>
          <t>N</t>
        </is>
      </c>
      <c r="P60" s="5" t="inlineStr">
        <is>
          <t>u</t>
        </is>
      </c>
      <c r="Q60" s="5" t="inlineStr">
        <is>
          <t>closed</t>
        </is>
      </c>
      <c r="R60" s="6" t="n"/>
      <c r="S60" s="4" t="inlineStr">
        <is>
          <t>4</t>
        </is>
      </c>
      <c r="T60" s="4" t="inlineStr">
        <is>
          <t>3rd above</t>
        </is>
      </c>
      <c r="U60" s="7" t="inlineStr">
        <is>
          <t>rising sequence begins</t>
        </is>
      </c>
    </row>
    <row r="61">
      <c r="A61" s="4" t="inlineStr">
        <is>
          <t>bridge</t>
        </is>
      </c>
      <c r="B61" s="4" t="inlineStr">
        <is>
          <t>B2</t>
        </is>
      </c>
      <c r="C61" s="4" t="inlineStr">
        <is>
          <t>lead</t>
        </is>
      </c>
      <c r="D61" s="4" t="n">
        <v>4</v>
      </c>
      <c r="E61" s="4" t="n">
        <v>3</v>
      </c>
      <c r="F61" s="4" t="inlineStr">
        <is>
          <t>v7</t>
        </is>
      </c>
      <c r="G61" s="4" t="inlineStr">
        <is>
          <t>Dm7</t>
        </is>
      </c>
      <c r="H61" s="4" t="inlineStr">
        <is>
          <t>PD</t>
        </is>
      </c>
      <c r="I61" s="4" t="inlineStr">
        <is>
          <t>3</t>
        </is>
      </c>
      <c r="J61" s="4" t="inlineStr">
        <is>
          <t>B3</t>
        </is>
      </c>
      <c r="K61" s="4" t="n">
        <v>4</v>
      </c>
      <c r="L61" s="4">
        <f>IF(OR(C61&lt;&gt;C60,K61="",K60=""),"",K61-K60)</f>
        <v/>
      </c>
      <c r="M61" s="4">
        <f>IF(L61="","",IF(L61=0,"repeat",IF(ABS(L61)&lt;=2,"step","leap")))</f>
        <v/>
      </c>
      <c r="N61" s="4">
        <f>IF(F61&lt;&gt;F60,"Y","")</f>
        <v/>
      </c>
      <c r="O61" s="5" t="inlineStr">
        <is>
          <t>N</t>
        </is>
      </c>
      <c r="P61" s="5" t="inlineStr">
        <is>
          <t>S</t>
        </is>
      </c>
      <c r="Q61" s="5" t="inlineStr">
        <is>
          <t>open</t>
        </is>
      </c>
      <c r="R61" s="6" t="n"/>
      <c r="S61" s="4" t="inlineStr">
        <is>
          <t>5</t>
        </is>
      </c>
      <c r="T61" s="4" t="inlineStr">
        <is>
          <t>3rd above</t>
        </is>
      </c>
      <c r="U61" s="7" t="inlineStr"/>
    </row>
    <row r="62">
      <c r="A62" s="4" t="inlineStr">
        <is>
          <t>bridge</t>
        </is>
      </c>
      <c r="B62" s="4" t="inlineStr">
        <is>
          <t>B2</t>
        </is>
      </c>
      <c r="C62" s="4" t="inlineStr">
        <is>
          <t>lead</t>
        </is>
      </c>
      <c r="D62" s="4" t="n">
        <v>4</v>
      </c>
      <c r="E62" s="4" t="n">
        <v>4</v>
      </c>
      <c r="F62" s="4" t="inlineStr">
        <is>
          <t>v7</t>
        </is>
      </c>
      <c r="G62" s="4" t="inlineStr">
        <is>
          <t>Dm7</t>
        </is>
      </c>
      <c r="H62" s="4" t="inlineStr">
        <is>
          <t>PD</t>
        </is>
      </c>
      <c r="I62" s="4" t="inlineStr">
        <is>
          <t>4</t>
        </is>
      </c>
      <c r="J62" s="4" t="inlineStr">
        <is>
          <t>C4</t>
        </is>
      </c>
      <c r="K62" s="4" t="n">
        <v>5</v>
      </c>
      <c r="L62" s="4">
        <f>IF(OR(C62&lt;&gt;C61,K62="",K61=""),"",K62-K61)</f>
        <v/>
      </c>
      <c r="M62" s="4">
        <f>IF(L62="","",IF(L62=0,"repeat",IF(ABS(L62)&lt;=2,"step","leap")))</f>
        <v/>
      </c>
      <c r="N62" s="4">
        <f>IF(F62&lt;&gt;F61,"Y","")</f>
        <v/>
      </c>
      <c r="O62" s="5" t="inlineStr">
        <is>
          <t>Y</t>
        </is>
      </c>
      <c r="P62" s="5" t="inlineStr">
        <is>
          <t>u</t>
        </is>
      </c>
      <c r="Q62" s="5" t="inlineStr">
        <is>
          <t>open</t>
        </is>
      </c>
      <c r="R62" s="6" t="n"/>
      <c r="S62" s="4" t="inlineStr">
        <is>
          <t>6</t>
        </is>
      </c>
      <c r="T62" s="4" t="inlineStr">
        <is>
          <t>3rd above</t>
        </is>
      </c>
      <c r="U62" s="7" t="inlineStr"/>
    </row>
    <row r="63">
      <c r="A63" s="4" t="inlineStr">
        <is>
          <t>bridge</t>
        </is>
      </c>
      <c r="B63" s="4" t="inlineStr">
        <is>
          <t>B2</t>
        </is>
      </c>
      <c r="C63" s="4" t="inlineStr">
        <is>
          <t>lead</t>
        </is>
      </c>
      <c r="D63" s="4" t="n">
        <v>5</v>
      </c>
      <c r="E63" s="4" t="n">
        <v>1</v>
      </c>
      <c r="F63" s="4" t="inlineStr">
        <is>
          <t>V7/IV</t>
        </is>
      </c>
      <c r="G63" s="4" t="inlineStr">
        <is>
          <t>G7</t>
        </is>
      </c>
      <c r="H63" s="4" t="inlineStr">
        <is>
          <t>D</t>
        </is>
      </c>
      <c r="I63" s="4" t="inlineStr">
        <is>
          <t>5</t>
        </is>
      </c>
      <c r="J63" s="4" t="inlineStr">
        <is>
          <t>D4</t>
        </is>
      </c>
      <c r="K63" s="4" t="n">
        <v>7</v>
      </c>
      <c r="L63" s="4">
        <f>IF(OR(C63&lt;&gt;C62,K63="",K62=""),"",K63-K62)</f>
        <v/>
      </c>
      <c r="M63" s="4">
        <f>IF(L63="","",IF(L63=0,"repeat",IF(ABS(L63)&lt;=2,"step","leap")))</f>
        <v/>
      </c>
      <c r="N63" s="4">
        <f>IF(F63&lt;&gt;F62,"Y","")</f>
        <v/>
      </c>
      <c r="O63" s="5" t="inlineStr">
        <is>
          <t>Y</t>
        </is>
      </c>
      <c r="P63" s="5" t="inlineStr">
        <is>
          <t>S</t>
        </is>
      </c>
      <c r="Q63" s="5" t="inlineStr">
        <is>
          <t>open</t>
        </is>
      </c>
      <c r="R63" s="6" t="n"/>
      <c r="S63" s="4" t="inlineStr">
        <is>
          <t>b7</t>
        </is>
      </c>
      <c r="T63" s="4" t="inlineStr">
        <is>
          <t>3rd above</t>
        </is>
      </c>
      <c r="U63" s="7" t="inlineStr">
        <is>
          <t>sequence peak, then stepwise descent</t>
        </is>
      </c>
    </row>
    <row r="64">
      <c r="A64" s="4" t="inlineStr">
        <is>
          <t>bridge</t>
        </is>
      </c>
      <c r="B64" s="4" t="inlineStr">
        <is>
          <t>B2</t>
        </is>
      </c>
      <c r="C64" s="4" t="inlineStr">
        <is>
          <t>lead</t>
        </is>
      </c>
      <c r="D64" s="4" t="n">
        <v>5</v>
      </c>
      <c r="E64" s="4" t="n">
        <v>2</v>
      </c>
      <c r="F64" s="4" t="inlineStr">
        <is>
          <t>V7/IV</t>
        </is>
      </c>
      <c r="G64" s="4" t="inlineStr">
        <is>
          <t>G7</t>
        </is>
      </c>
      <c r="H64" s="4" t="inlineStr">
        <is>
          <t>D</t>
        </is>
      </c>
      <c r="I64" s="4" t="inlineStr">
        <is>
          <t>4</t>
        </is>
      </c>
      <c r="J64" s="4" t="inlineStr">
        <is>
          <t>C4</t>
        </is>
      </c>
      <c r="K64" s="4" t="n">
        <v>5</v>
      </c>
      <c r="L64" s="4">
        <f>IF(OR(C64&lt;&gt;C63,K64="",K63=""),"",K64-K63)</f>
        <v/>
      </c>
      <c r="M64" s="4">
        <f>IF(L64="","",IF(L64=0,"repeat",IF(ABS(L64)&lt;=2,"step","leap")))</f>
        <v/>
      </c>
      <c r="N64" s="4">
        <f>IF(F64&lt;&gt;F63,"Y","")</f>
        <v/>
      </c>
      <c r="O64" s="5" t="inlineStr">
        <is>
          <t>N</t>
        </is>
      </c>
      <c r="P64" s="5" t="inlineStr">
        <is>
          <t>u</t>
        </is>
      </c>
      <c r="Q64" s="5" t="inlineStr">
        <is>
          <t>closed</t>
        </is>
      </c>
      <c r="R64" s="6" t="n"/>
      <c r="S64" s="4" t="inlineStr">
        <is>
          <t>6</t>
        </is>
      </c>
      <c r="T64" s="4" t="inlineStr">
        <is>
          <t>3rd above</t>
        </is>
      </c>
      <c r="U64" s="7" t="inlineStr"/>
    </row>
    <row r="65">
      <c r="A65" s="4" t="inlineStr">
        <is>
          <t>bridge</t>
        </is>
      </c>
      <c r="B65" s="4" t="inlineStr">
        <is>
          <t>B2</t>
        </is>
      </c>
      <c r="C65" s="4" t="inlineStr">
        <is>
          <t>lead</t>
        </is>
      </c>
      <c r="D65" s="4" t="n">
        <v>5</v>
      </c>
      <c r="E65" s="4" t="n">
        <v>3</v>
      </c>
      <c r="F65" s="4" t="inlineStr">
        <is>
          <t>V7/IV</t>
        </is>
      </c>
      <c r="G65" s="4" t="inlineStr">
        <is>
          <t>G7</t>
        </is>
      </c>
      <c r="H65" s="4" t="inlineStr">
        <is>
          <t>D</t>
        </is>
      </c>
      <c r="I65" s="4" t="inlineStr">
        <is>
          <t>3</t>
        </is>
      </c>
      <c r="J65" s="4" t="inlineStr">
        <is>
          <t>B3</t>
        </is>
      </c>
      <c r="K65" s="4" t="n">
        <v>4</v>
      </c>
      <c r="L65" s="4">
        <f>IF(OR(C65&lt;&gt;C64,K65="",K64=""),"",K65-K64)</f>
        <v/>
      </c>
      <c r="M65" s="4">
        <f>IF(L65="","",IF(L65=0,"repeat",IF(ABS(L65)&lt;=2,"step","leap")))</f>
        <v/>
      </c>
      <c r="N65" s="4">
        <f>IF(F65&lt;&gt;F64,"Y","")</f>
        <v/>
      </c>
      <c r="O65" s="5" t="inlineStr">
        <is>
          <t>Y</t>
        </is>
      </c>
      <c r="P65" s="5" t="inlineStr">
        <is>
          <t>S</t>
        </is>
      </c>
      <c r="Q65" s="5" t="inlineStr">
        <is>
          <t>open</t>
        </is>
      </c>
      <c r="R65" s="6" t="n"/>
      <c r="S65" s="4" t="inlineStr">
        <is>
          <t>5</t>
        </is>
      </c>
      <c r="T65" s="4" t="inlineStr">
        <is>
          <t>3rd above</t>
        </is>
      </c>
      <c r="U65" s="7" t="inlineStr"/>
    </row>
    <row r="66">
      <c r="A66" s="4" t="inlineStr">
        <is>
          <t>bridge</t>
        </is>
      </c>
      <c r="B66" s="4" t="inlineStr">
        <is>
          <t>B2</t>
        </is>
      </c>
      <c r="C66" s="4" t="inlineStr">
        <is>
          <t>lead</t>
        </is>
      </c>
      <c r="D66" s="4" t="n">
        <v>5</v>
      </c>
      <c r="E66" s="4" t="n">
        <v>4</v>
      </c>
      <c r="F66" s="4" t="inlineStr">
        <is>
          <t>V7/IV</t>
        </is>
      </c>
      <c r="G66" s="4" t="inlineStr">
        <is>
          <t>G7</t>
        </is>
      </c>
      <c r="H66" s="4" t="inlineStr">
        <is>
          <t>D</t>
        </is>
      </c>
      <c r="I66" s="4" t="inlineStr">
        <is>
          <t>2</t>
        </is>
      </c>
      <c r="J66" s="4" t="inlineStr">
        <is>
          <t>A3</t>
        </is>
      </c>
      <c r="K66" s="4" t="n">
        <v>2</v>
      </c>
      <c r="L66" s="4">
        <f>IF(OR(C66&lt;&gt;C65,K66="",K65=""),"",K66-K65)</f>
        <v/>
      </c>
      <c r="M66" s="4">
        <f>IF(L66="","",IF(L66=0,"repeat",IF(ABS(L66)&lt;=2,"step","leap")))</f>
        <v/>
      </c>
      <c r="N66" s="4">
        <f>IF(F66&lt;&gt;F65,"Y","")</f>
        <v/>
      </c>
      <c r="O66" s="5" t="inlineStr">
        <is>
          <t>N</t>
        </is>
      </c>
      <c r="P66" s="5" t="inlineStr">
        <is>
          <t>u</t>
        </is>
      </c>
      <c r="Q66" s="5" t="inlineStr">
        <is>
          <t>open</t>
        </is>
      </c>
      <c r="R66" s="6" t="n"/>
      <c r="S66" s="4" t="inlineStr">
        <is>
          <t>4</t>
        </is>
      </c>
      <c r="T66" s="4" t="inlineStr">
        <is>
          <t>3rd above</t>
        </is>
      </c>
      <c r="U66" s="7" t="inlineStr"/>
    </row>
    <row r="67">
      <c r="A67" s="4" t="inlineStr">
        <is>
          <t>bridge</t>
        </is>
      </c>
      <c r="B67" s="4" t="inlineStr">
        <is>
          <t>B2</t>
        </is>
      </c>
      <c r="C67" s="4" t="inlineStr">
        <is>
          <t>lead</t>
        </is>
      </c>
      <c r="D67" s="4" t="n">
        <v>6</v>
      </c>
      <c r="E67" s="4" t="n">
        <v>1</v>
      </c>
      <c r="F67" s="4" t="inlineStr">
        <is>
          <t>IV</t>
        </is>
      </c>
      <c r="G67" s="4" t="inlineStr">
        <is>
          <t>C</t>
        </is>
      </c>
      <c r="H67" s="4" t="inlineStr">
        <is>
          <t>PD</t>
        </is>
      </c>
      <c r="I67" s="4" t="inlineStr">
        <is>
          <t>4</t>
        </is>
      </c>
      <c r="J67" s="4" t="inlineStr">
        <is>
          <t>C4</t>
        </is>
      </c>
      <c r="K67" s="4" t="n">
        <v>5</v>
      </c>
      <c r="L67" s="4">
        <f>IF(OR(C67&lt;&gt;C66,K67="",K66=""),"",K67-K66)</f>
        <v/>
      </c>
      <c r="M67" s="4">
        <f>IF(L67="","",IF(L67=0,"repeat",IF(ABS(L67)&lt;=2,"step","leap")))</f>
        <v/>
      </c>
      <c r="N67" s="4">
        <f>IF(F67&lt;&gt;F66,"Y","")</f>
        <v/>
      </c>
      <c r="O67" s="5" t="inlineStr">
        <is>
          <t>Y</t>
        </is>
      </c>
      <c r="P67" s="5" t="inlineStr">
        <is>
          <t>S</t>
        </is>
      </c>
      <c r="Q67" s="5" t="inlineStr">
        <is>
          <t>open</t>
        </is>
      </c>
      <c r="R67" s="6" t="n"/>
      <c r="S67" s="4" t="inlineStr">
        <is>
          <t>6</t>
        </is>
      </c>
      <c r="T67" s="4" t="inlineStr">
        <is>
          <t>3rd above</t>
        </is>
      </c>
      <c r="U67" s="7" t="inlineStr">
        <is>
          <t>held with ornament (turn) - the sigh before the build</t>
        </is>
      </c>
    </row>
    <row r="68">
      <c r="A68" s="4" t="inlineStr">
        <is>
          <t>bridge</t>
        </is>
      </c>
      <c r="B68" s="4" t="inlineStr">
        <is>
          <t>climb</t>
        </is>
      </c>
      <c r="C68" s="4" t="inlineStr">
        <is>
          <t>lead</t>
        </is>
      </c>
      <c r="D68" s="4" t="n">
        <v>7</v>
      </c>
      <c r="E68" s="4" t="n">
        <v>2.5</v>
      </c>
      <c r="F68" s="4" t="inlineStr">
        <is>
          <t>V</t>
        </is>
      </c>
      <c r="G68" s="4" t="inlineStr">
        <is>
          <t>D</t>
        </is>
      </c>
      <c r="H68" s="4" t="inlineStr">
        <is>
          <t>D</t>
        </is>
      </c>
      <c r="I68" s="4" t="inlineStr">
        <is>
          <t>3</t>
        </is>
      </c>
      <c r="J68" s="4" t="inlineStr">
        <is>
          <t>B3</t>
        </is>
      </c>
      <c r="K68" s="4" t="n">
        <v>4</v>
      </c>
      <c r="L68" s="4">
        <f>IF(OR(C68&lt;&gt;C67,K68="",K67=""),"",K68-K67)</f>
        <v/>
      </c>
      <c r="M68" s="4">
        <f>IF(L68="","",IF(L68=0,"repeat",IF(ABS(L68)&lt;=2,"step","leap")))</f>
        <v/>
      </c>
      <c r="N68" s="4">
        <f>IF(F68&lt;&gt;F67,"Y","")</f>
        <v/>
      </c>
      <c r="O68" s="5" t="inlineStr">
        <is>
          <t>N</t>
        </is>
      </c>
      <c r="P68" s="5" t="inlineStr">
        <is>
          <t>S</t>
        </is>
      </c>
      <c r="Q68" s="5" t="inlineStr">
        <is>
          <t>open</t>
        </is>
      </c>
      <c r="R68" s="6" t="n"/>
      <c r="S68" s="4" t="inlineStr">
        <is>
          <t>5</t>
        </is>
      </c>
      <c r="T68" s="4" t="inlineStr">
        <is>
          <t>3rd above</t>
        </is>
      </c>
      <c r="U68" s="7" t="inlineStr">
        <is>
          <t>build phrase 1: repeated (B+D) stacks</t>
        </is>
      </c>
    </row>
    <row r="69">
      <c r="A69" s="4" t="inlineStr">
        <is>
          <t>bridge</t>
        </is>
      </c>
      <c r="B69" s="4" t="inlineStr">
        <is>
          <t>climb</t>
        </is>
      </c>
      <c r="C69" s="4" t="inlineStr">
        <is>
          <t>lead</t>
        </is>
      </c>
      <c r="D69" s="4" t="n">
        <v>7</v>
      </c>
      <c r="E69" s="4" t="n">
        <v>3</v>
      </c>
      <c r="F69" s="4" t="inlineStr">
        <is>
          <t>V</t>
        </is>
      </c>
      <c r="G69" s="4" t="inlineStr">
        <is>
          <t>D</t>
        </is>
      </c>
      <c r="H69" s="4" t="inlineStr">
        <is>
          <t>D</t>
        </is>
      </c>
      <c r="I69" s="4" t="inlineStr">
        <is>
          <t>3</t>
        </is>
      </c>
      <c r="J69" s="4" t="inlineStr">
        <is>
          <t>B3</t>
        </is>
      </c>
      <c r="K69" s="4" t="n">
        <v>4</v>
      </c>
      <c r="L69" s="4">
        <f>IF(OR(C69&lt;&gt;C68,K69="",K68=""),"",K69-K68)</f>
        <v/>
      </c>
      <c r="M69" s="4">
        <f>IF(L69="","",IF(L69=0,"repeat",IF(ABS(L69)&lt;=2,"step","leap")))</f>
        <v/>
      </c>
      <c r="N69" s="4">
        <f>IF(F69&lt;&gt;F68,"Y","")</f>
        <v/>
      </c>
      <c r="O69" s="5" t="inlineStr">
        <is>
          <t>N</t>
        </is>
      </c>
      <c r="P69" s="5" t="inlineStr">
        <is>
          <t>u</t>
        </is>
      </c>
      <c r="Q69" s="5" t="inlineStr">
        <is>
          <t>open</t>
        </is>
      </c>
      <c r="R69" s="6" t="n"/>
      <c r="S69" s="4" t="inlineStr">
        <is>
          <t>5</t>
        </is>
      </c>
      <c r="T69" s="4" t="inlineStr">
        <is>
          <t>3rd above</t>
        </is>
      </c>
      <c r="U69" s="7" t="inlineStr"/>
    </row>
    <row r="70">
      <c r="A70" s="4" t="inlineStr">
        <is>
          <t>bridge</t>
        </is>
      </c>
      <c r="B70" s="4" t="inlineStr">
        <is>
          <t>climb</t>
        </is>
      </c>
      <c r="C70" s="4" t="inlineStr">
        <is>
          <t>lead</t>
        </is>
      </c>
      <c r="D70" s="4" t="n">
        <v>7</v>
      </c>
      <c r="E70" s="4" t="n">
        <v>3.5</v>
      </c>
      <c r="F70" s="4" t="inlineStr">
        <is>
          <t>V</t>
        </is>
      </c>
      <c r="G70" s="4" t="inlineStr">
        <is>
          <t>D</t>
        </is>
      </c>
      <c r="H70" s="4" t="inlineStr">
        <is>
          <t>D</t>
        </is>
      </c>
      <c r="I70" s="4" t="inlineStr">
        <is>
          <t>3</t>
        </is>
      </c>
      <c r="J70" s="4" t="inlineStr">
        <is>
          <t>B3</t>
        </is>
      </c>
      <c r="K70" s="4" t="n">
        <v>4</v>
      </c>
      <c r="L70" s="4">
        <f>IF(OR(C70&lt;&gt;C69,K70="",K69=""),"",K70-K69)</f>
        <v/>
      </c>
      <c r="M70" s="4">
        <f>IF(L70="","",IF(L70=0,"repeat",IF(ABS(L70)&lt;=2,"step","leap")))</f>
        <v/>
      </c>
      <c r="N70" s="4">
        <f>IF(F70&lt;&gt;F69,"Y","")</f>
        <v/>
      </c>
      <c r="O70" s="5" t="inlineStr">
        <is>
          <t>N</t>
        </is>
      </c>
      <c r="P70" s="5" t="inlineStr">
        <is>
          <t>S</t>
        </is>
      </c>
      <c r="Q70" s="5" t="inlineStr">
        <is>
          <t>open</t>
        </is>
      </c>
      <c r="R70" s="6" t="n"/>
      <c r="S70" s="4" t="inlineStr">
        <is>
          <t>5</t>
        </is>
      </c>
      <c r="T70" s="4" t="inlineStr">
        <is>
          <t>3rd above</t>
        </is>
      </c>
      <c r="U70" s="7" t="inlineStr">
        <is>
          <t>tied and held over the V bar</t>
        </is>
      </c>
    </row>
    <row r="71">
      <c r="A71" s="4" t="inlineStr">
        <is>
          <t>bridge</t>
        </is>
      </c>
      <c r="B71" s="4" t="inlineStr">
        <is>
          <t>climb</t>
        </is>
      </c>
      <c r="C71" s="4" t="inlineStr">
        <is>
          <t>lead</t>
        </is>
      </c>
      <c r="D71" s="4" t="n">
        <v>9</v>
      </c>
      <c r="E71" s="4" t="n">
        <v>2.5</v>
      </c>
      <c r="F71" s="4" t="inlineStr">
        <is>
          <t>IV</t>
        </is>
      </c>
      <c r="G71" s="4" t="inlineStr">
        <is>
          <t>C</t>
        </is>
      </c>
      <c r="H71" s="4" t="inlineStr">
        <is>
          <t>PD</t>
        </is>
      </c>
      <c r="I71" s="4" t="inlineStr">
        <is>
          <t>4</t>
        </is>
      </c>
      <c r="J71" s="4" t="inlineStr">
        <is>
          <t>C4</t>
        </is>
      </c>
      <c r="K71" s="4" t="n">
        <v>5</v>
      </c>
      <c r="L71" s="4">
        <f>IF(OR(C71&lt;&gt;C70,K71="",K70=""),"",K71-K70)</f>
        <v/>
      </c>
      <c r="M71" s="4">
        <f>IF(L71="","",IF(L71=0,"repeat",IF(ABS(L71)&lt;=2,"step","leap")))</f>
        <v/>
      </c>
      <c r="N71" s="4">
        <f>IF(F71&lt;&gt;F70,"Y","")</f>
        <v/>
      </c>
      <c r="O71" s="5" t="inlineStr">
        <is>
          <t>Y</t>
        </is>
      </c>
      <c r="P71" s="5" t="inlineStr">
        <is>
          <t>S</t>
        </is>
      </c>
      <c r="Q71" s="5" t="inlineStr">
        <is>
          <t>open</t>
        </is>
      </c>
      <c r="R71" s="6" t="n"/>
      <c r="S71" s="4" t="inlineStr">
        <is>
          <t>6</t>
        </is>
      </c>
      <c r="T71" s="4" t="inlineStr">
        <is>
          <t>3rd above</t>
        </is>
      </c>
      <c r="U71" s="7" t="inlineStr">
        <is>
          <t>build phrase 2: a step higher (C+E)</t>
        </is>
      </c>
    </row>
    <row r="72">
      <c r="A72" s="4" t="inlineStr">
        <is>
          <t>bridge</t>
        </is>
      </c>
      <c r="B72" s="4" t="inlineStr">
        <is>
          <t>climb</t>
        </is>
      </c>
      <c r="C72" s="4" t="inlineStr">
        <is>
          <t>lead</t>
        </is>
      </c>
      <c r="D72" s="4" t="n">
        <v>9</v>
      </c>
      <c r="E72" s="4" t="n">
        <v>3</v>
      </c>
      <c r="F72" s="4" t="inlineStr">
        <is>
          <t>IV</t>
        </is>
      </c>
      <c r="G72" s="4" t="inlineStr">
        <is>
          <t>C</t>
        </is>
      </c>
      <c r="H72" s="4" t="inlineStr">
        <is>
          <t>PD</t>
        </is>
      </c>
      <c r="I72" s="4" t="inlineStr">
        <is>
          <t>4</t>
        </is>
      </c>
      <c r="J72" s="4" t="inlineStr">
        <is>
          <t>C4</t>
        </is>
      </c>
      <c r="K72" s="4" t="n">
        <v>5</v>
      </c>
      <c r="L72" s="4">
        <f>IF(OR(C72&lt;&gt;C71,K72="",K71=""),"",K72-K71)</f>
        <v/>
      </c>
      <c r="M72" s="4">
        <f>IF(L72="","",IF(L72=0,"repeat",IF(ABS(L72)&lt;=2,"step","leap")))</f>
        <v/>
      </c>
      <c r="N72" s="4">
        <f>IF(F72&lt;&gt;F71,"Y","")</f>
        <v/>
      </c>
      <c r="O72" s="5" t="inlineStr">
        <is>
          <t>Y</t>
        </is>
      </c>
      <c r="P72" s="5" t="inlineStr">
        <is>
          <t>u</t>
        </is>
      </c>
      <c r="Q72" s="5" t="inlineStr">
        <is>
          <t>open</t>
        </is>
      </c>
      <c r="R72" s="6" t="n"/>
      <c r="S72" s="4" t="inlineStr">
        <is>
          <t>6</t>
        </is>
      </c>
      <c r="T72" s="4" t="inlineStr">
        <is>
          <t>3rd above</t>
        </is>
      </c>
      <c r="U72" s="7" t="inlineStr"/>
    </row>
    <row r="73">
      <c r="A73" s="4" t="inlineStr">
        <is>
          <t>bridge</t>
        </is>
      </c>
      <c r="B73" s="4" t="inlineStr">
        <is>
          <t>climb</t>
        </is>
      </c>
      <c r="C73" s="4" t="inlineStr">
        <is>
          <t>lead</t>
        </is>
      </c>
      <c r="D73" s="4" t="n">
        <v>9</v>
      </c>
      <c r="E73" s="4" t="n">
        <v>3.5</v>
      </c>
      <c r="F73" s="4" t="inlineStr">
        <is>
          <t>V</t>
        </is>
      </c>
      <c r="G73" s="4" t="inlineStr">
        <is>
          <t>D</t>
        </is>
      </c>
      <c r="H73" s="4" t="inlineStr">
        <is>
          <t>D</t>
        </is>
      </c>
      <c r="I73" s="4" t="inlineStr">
        <is>
          <t>4</t>
        </is>
      </c>
      <c r="J73" s="4" t="inlineStr">
        <is>
          <t>C4</t>
        </is>
      </c>
      <c r="K73" s="4" t="n">
        <v>5</v>
      </c>
      <c r="L73" s="4">
        <f>IF(OR(C73&lt;&gt;C72,K73="",K72=""),"",K73-K72)</f>
        <v/>
      </c>
      <c r="M73" s="4">
        <f>IF(L73="","",IF(L73=0,"repeat",IF(ABS(L73)&lt;=2,"step","leap")))</f>
        <v/>
      </c>
      <c r="N73" s="4">
        <f>IF(F73&lt;&gt;F72,"Y","")</f>
        <v/>
      </c>
      <c r="O73" s="5" t="inlineStr">
        <is>
          <t>N</t>
        </is>
      </c>
      <c r="P73" s="5" t="inlineStr">
        <is>
          <t>S</t>
        </is>
      </c>
      <c r="Q73" s="5" t="inlineStr">
        <is>
          <t>open</t>
        </is>
      </c>
      <c r="R73" s="6" t="n"/>
      <c r="S73" s="4" t="inlineStr">
        <is>
          <t>6</t>
        </is>
      </c>
      <c r="T73" s="4" t="inlineStr">
        <is>
          <t>3rd above</t>
        </is>
      </c>
      <c r="U73" s="7" t="inlineStr">
        <is>
          <t>tied into V - non-chord tension rising</t>
        </is>
      </c>
    </row>
    <row r="74">
      <c r="A74" s="4" t="inlineStr">
        <is>
          <t>bridge</t>
        </is>
      </c>
      <c r="B74" s="4" t="inlineStr">
        <is>
          <t>climb</t>
        </is>
      </c>
      <c r="C74" s="4" t="inlineStr">
        <is>
          <t>lead</t>
        </is>
      </c>
      <c r="D74" s="4" t="n">
        <v>11</v>
      </c>
      <c r="E74" s="4" t="n">
        <v>2.5</v>
      </c>
      <c r="F74" s="4" t="inlineStr">
        <is>
          <t>IV</t>
        </is>
      </c>
      <c r="G74" s="4" t="inlineStr">
        <is>
          <t>C</t>
        </is>
      </c>
      <c r="H74" s="4" t="inlineStr">
        <is>
          <t>PD</t>
        </is>
      </c>
      <c r="I74" s="4" t="inlineStr">
        <is>
          <t>6</t>
        </is>
      </c>
      <c r="J74" s="4" t="inlineStr">
        <is>
          <t>E4</t>
        </is>
      </c>
      <c r="K74" s="4" t="n">
        <v>9</v>
      </c>
      <c r="L74" s="4">
        <f>IF(OR(C74&lt;&gt;C73,K74="",K73=""),"",K74-K73)</f>
        <v/>
      </c>
      <c r="M74" s="4">
        <f>IF(L74="","",IF(L74=0,"repeat",IF(ABS(L74)&lt;=2,"step","leap")))</f>
        <v/>
      </c>
      <c r="N74" s="4">
        <f>IF(F74&lt;&gt;F73,"Y","")</f>
        <v/>
      </c>
      <c r="O74" s="5" t="inlineStr">
        <is>
          <t>Y</t>
        </is>
      </c>
      <c r="P74" s="5" t="inlineStr">
        <is>
          <t>S</t>
        </is>
      </c>
      <c r="Q74" s="5" t="inlineStr">
        <is>
          <t>open</t>
        </is>
      </c>
      <c r="R74" s="6" t="n"/>
      <c r="S74" s="4" t="inlineStr">
        <is>
          <t>1</t>
        </is>
      </c>
      <c r="T74" s="4" t="inlineStr">
        <is>
          <t>3rd above</t>
        </is>
      </c>
      <c r="U74" s="7" t="inlineStr">
        <is>
          <t>build phrase 3: (E+G) - each phrase a 3rd higher</t>
        </is>
      </c>
    </row>
    <row r="75">
      <c r="A75" s="4" t="inlineStr">
        <is>
          <t>bridge</t>
        </is>
      </c>
      <c r="B75" s="4" t="inlineStr">
        <is>
          <t>climb</t>
        </is>
      </c>
      <c r="C75" s="4" t="inlineStr">
        <is>
          <t>lead</t>
        </is>
      </c>
      <c r="D75" s="4" t="n">
        <v>11</v>
      </c>
      <c r="E75" s="4" t="n">
        <v>3</v>
      </c>
      <c r="F75" s="4" t="inlineStr">
        <is>
          <t>IV</t>
        </is>
      </c>
      <c r="G75" s="4" t="inlineStr">
        <is>
          <t>C</t>
        </is>
      </c>
      <c r="H75" s="4" t="inlineStr">
        <is>
          <t>PD</t>
        </is>
      </c>
      <c r="I75" s="4" t="inlineStr">
        <is>
          <t>6</t>
        </is>
      </c>
      <c r="J75" s="4" t="inlineStr">
        <is>
          <t>E4</t>
        </is>
      </c>
      <c r="K75" s="4" t="n">
        <v>9</v>
      </c>
      <c r="L75" s="4">
        <f>IF(OR(C75&lt;&gt;C74,K75="",K74=""),"",K75-K74)</f>
        <v/>
      </c>
      <c r="M75" s="4">
        <f>IF(L75="","",IF(L75=0,"repeat",IF(ABS(L75)&lt;=2,"step","leap")))</f>
        <v/>
      </c>
      <c r="N75" s="4">
        <f>IF(F75&lt;&gt;F74,"Y","")</f>
        <v/>
      </c>
      <c r="O75" s="5" t="inlineStr">
        <is>
          <t>Y</t>
        </is>
      </c>
      <c r="P75" s="5" t="inlineStr">
        <is>
          <t>u</t>
        </is>
      </c>
      <c r="Q75" s="5" t="inlineStr">
        <is>
          <t>open</t>
        </is>
      </c>
      <c r="R75" s="6" t="n"/>
      <c r="S75" s="4" t="inlineStr">
        <is>
          <t>1</t>
        </is>
      </c>
      <c r="T75" s="4" t="inlineStr">
        <is>
          <t>3rd above</t>
        </is>
      </c>
      <c r="U75" s="7" t="inlineStr"/>
    </row>
    <row r="76">
      <c r="A76" s="4" t="inlineStr">
        <is>
          <t>bridge</t>
        </is>
      </c>
      <c r="B76" s="4" t="inlineStr">
        <is>
          <t>climb</t>
        </is>
      </c>
      <c r="C76" s="4" t="inlineStr">
        <is>
          <t>lead</t>
        </is>
      </c>
      <c r="D76" s="4" t="n">
        <v>11</v>
      </c>
      <c r="E76" s="4" t="n">
        <v>3.5</v>
      </c>
      <c r="F76" s="4" t="inlineStr">
        <is>
          <t>V</t>
        </is>
      </c>
      <c r="G76" s="4" t="inlineStr">
        <is>
          <t>D</t>
        </is>
      </c>
      <c r="H76" s="4" t="inlineStr">
        <is>
          <t>D</t>
        </is>
      </c>
      <c r="I76" s="4" t="inlineStr">
        <is>
          <t>6</t>
        </is>
      </c>
      <c r="J76" s="4" t="inlineStr">
        <is>
          <t>E4</t>
        </is>
      </c>
      <c r="K76" s="4" t="n">
        <v>9</v>
      </c>
      <c r="L76" s="4">
        <f>IF(OR(C76&lt;&gt;C75,K76="",K75=""),"",K76-K75)</f>
        <v/>
      </c>
      <c r="M76" s="4">
        <f>IF(L76="","",IF(L76=0,"repeat",IF(ABS(L76)&lt;=2,"step","leap")))</f>
        <v/>
      </c>
      <c r="N76" s="4">
        <f>IF(F76&lt;&gt;F75,"Y","")</f>
        <v/>
      </c>
      <c r="O76" s="5" t="inlineStr">
        <is>
          <t>N</t>
        </is>
      </c>
      <c r="P76" s="5" t="inlineStr">
        <is>
          <t>S</t>
        </is>
      </c>
      <c r="Q76" s="5" t="inlineStr">
        <is>
          <t>open</t>
        </is>
      </c>
      <c r="R76" s="6" t="n"/>
      <c r="S76" s="4" t="inlineStr">
        <is>
          <t>1</t>
        </is>
      </c>
      <c r="T76" s="4" t="inlineStr">
        <is>
          <t>3rd above</t>
        </is>
      </c>
      <c r="U76" s="7" t="inlineStr"/>
    </row>
    <row r="77">
      <c r="A77" s="4" t="inlineStr">
        <is>
          <t>bridge</t>
        </is>
      </c>
      <c r="B77" s="4" t="inlineStr">
        <is>
          <t>climax</t>
        </is>
      </c>
      <c r="C77" s="4" t="inlineStr">
        <is>
          <t>lead</t>
        </is>
      </c>
      <c r="D77" s="4" t="n">
        <v>12</v>
      </c>
      <c r="E77" s="4" t="n">
        <v>1</v>
      </c>
      <c r="F77" s="4" t="inlineStr">
        <is>
          <t>V</t>
        </is>
      </c>
      <c r="G77" s="4" t="inlineStr">
        <is>
          <t>D</t>
        </is>
      </c>
      <c r="H77" s="4" t="inlineStr">
        <is>
          <t>D</t>
        </is>
      </c>
      <c r="I77" s="4" t="inlineStr">
        <is>
          <t>5</t>
        </is>
      </c>
      <c r="J77" s="4" t="inlineStr">
        <is>
          <t>D4</t>
        </is>
      </c>
      <c r="K77" s="4" t="n">
        <v>7</v>
      </c>
      <c r="L77" s="4">
        <f>IF(OR(C77&lt;&gt;C76,K77="",K76=""),"",K77-K76)</f>
        <v/>
      </c>
      <c r="M77" s="4">
        <f>IF(L77="","",IF(L77=0,"repeat",IF(ABS(L77)&lt;=2,"step","leap")))</f>
        <v/>
      </c>
      <c r="N77" s="4">
        <f>IF(F77&lt;&gt;F76,"Y","")</f>
        <v/>
      </c>
      <c r="O77" s="5" t="inlineStr">
        <is>
          <t>Y</t>
        </is>
      </c>
      <c r="P77" s="5" t="inlineStr">
        <is>
          <t>S</t>
        </is>
      </c>
      <c r="Q77" s="5" t="inlineStr">
        <is>
          <t>open</t>
        </is>
      </c>
      <c r="R77" s="6" t="n"/>
      <c r="S77" s="4" t="inlineStr">
        <is>
          <t>1</t>
        </is>
      </c>
      <c r="T77" s="4" t="inlineStr">
        <is>
          <t>4th above</t>
        </is>
      </c>
      <c r="U77" s="7" t="inlineStr">
        <is>
          <t>THE PEAK: long held stack (D+G written D5+G5), top voice screaming the 4th over V - maximum tension, resolves into the next verse (pitches approximate)</t>
        </is>
      </c>
    </row>
    <row r="78">
      <c r="A78" s="4" t="inlineStr">
        <is>
          <t>bridge</t>
        </is>
      </c>
      <c r="B78" s="4" t="inlineStr">
        <is>
          <t>climax</t>
        </is>
      </c>
      <c r="C78" s="4" t="inlineStr">
        <is>
          <t>lead</t>
        </is>
      </c>
      <c r="D78" s="4" t="n">
        <v>13</v>
      </c>
      <c r="E78" s="4" t="n">
        <v>3</v>
      </c>
      <c r="F78" s="4" t="inlineStr">
        <is>
          <t>V7</t>
        </is>
      </c>
      <c r="G78" s="4" t="inlineStr">
        <is>
          <t>D7</t>
        </is>
      </c>
      <c r="H78" s="4" t="inlineStr">
        <is>
          <t>D</t>
        </is>
      </c>
      <c r="I78" s="4" t="inlineStr">
        <is>
          <t>3</t>
        </is>
      </c>
      <c r="J78" s="4" t="inlineStr">
        <is>
          <t>B3</t>
        </is>
      </c>
      <c r="K78" s="4" t="n">
        <v>4</v>
      </c>
      <c r="L78" s="4">
        <f>IF(OR(C78&lt;&gt;C77,K78="",K77=""),"",K78-K77)</f>
        <v/>
      </c>
      <c r="M78" s="4">
        <f>IF(L78="","",IF(L78=0,"repeat",IF(ABS(L78)&lt;=2,"step","leap")))</f>
        <v/>
      </c>
      <c r="N78" s="4">
        <f>IF(F78&lt;&gt;F77,"Y","")</f>
        <v/>
      </c>
      <c r="O78" s="5" t="inlineStr">
        <is>
          <t>N</t>
        </is>
      </c>
      <c r="P78" s="5" t="inlineStr">
        <is>
          <t>S</t>
        </is>
      </c>
      <c r="Q78" s="5" t="inlineStr">
        <is>
          <t>open</t>
        </is>
      </c>
      <c r="R78" s="6" t="n"/>
      <c r="S78" s="4" t="n"/>
      <c r="T78" s="4" t="n"/>
      <c r="U78" s="7" t="inlineStr">
        <is>
          <t>release word after the held scream (1st/2nd endings; D.S. back to verse)</t>
        </is>
      </c>
    </row>
    <row r="79">
      <c r="A79" s="4" t="inlineStr">
        <is>
          <t>coda</t>
        </is>
      </c>
      <c r="B79" s="4" t="inlineStr">
        <is>
          <t>tag1</t>
        </is>
      </c>
      <c r="C79" s="4" t="inlineStr">
        <is>
          <t>lead</t>
        </is>
      </c>
      <c r="D79" s="4" t="n">
        <v>1</v>
      </c>
      <c r="E79" s="4" t="n">
        <v>1.5</v>
      </c>
      <c r="F79" s="4" t="inlineStr">
        <is>
          <t>IV</t>
        </is>
      </c>
      <c r="G79" s="4" t="inlineStr">
        <is>
          <t>C</t>
        </is>
      </c>
      <c r="H79" s="4" t="inlineStr">
        <is>
          <t>PD</t>
        </is>
      </c>
      <c r="I79" s="4" t="inlineStr">
        <is>
          <t>6</t>
        </is>
      </c>
      <c r="J79" s="4" t="inlineStr">
        <is>
          <t>E4</t>
        </is>
      </c>
      <c r="K79" s="4" t="n">
        <v>9</v>
      </c>
      <c r="L79" s="4">
        <f>IF(OR(C79&lt;&gt;C78,K79="",K78=""),"",K79-K78)</f>
        <v/>
      </c>
      <c r="M79" s="4">
        <f>IF(L79="","",IF(L79=0,"repeat",IF(ABS(L79)&lt;=2,"step","leap")))</f>
        <v/>
      </c>
      <c r="N79" s="4">
        <f>IF(F79&lt;&gt;F78,"Y","")</f>
        <v/>
      </c>
      <c r="O79" s="5" t="inlineStr">
        <is>
          <t>N</t>
        </is>
      </c>
      <c r="P79" s="5" t="inlineStr">
        <is>
          <t>S</t>
        </is>
      </c>
      <c r="Q79" s="5" t="inlineStr">
        <is>
          <t>open</t>
        </is>
      </c>
      <c r="R79" s="6" t="n"/>
      <c r="S79" s="4" t="n"/>
      <c r="T79" s="4" t="n"/>
      <c r="U79" s="7" t="inlineStr">
        <is>
          <t>final title statements</t>
        </is>
      </c>
    </row>
    <row r="80">
      <c r="A80" s="4" t="inlineStr">
        <is>
          <t>coda</t>
        </is>
      </c>
      <c r="B80" s="4" t="inlineStr">
        <is>
          <t>tag1</t>
        </is>
      </c>
      <c r="C80" s="4" t="inlineStr">
        <is>
          <t>lead</t>
        </is>
      </c>
      <c r="D80" s="4" t="n">
        <v>1</v>
      </c>
      <c r="E80" s="4" t="n">
        <v>2</v>
      </c>
      <c r="F80" s="4" t="inlineStr">
        <is>
          <t>IV</t>
        </is>
      </c>
      <c r="G80" s="4" t="inlineStr">
        <is>
          <t>C</t>
        </is>
      </c>
      <c r="H80" s="4" t="inlineStr">
        <is>
          <t>PD</t>
        </is>
      </c>
      <c r="I80" s="4" t="inlineStr">
        <is>
          <t>6</t>
        </is>
      </c>
      <c r="J80" s="4" t="inlineStr">
        <is>
          <t>E4</t>
        </is>
      </c>
      <c r="K80" s="4" t="n">
        <v>9</v>
      </c>
      <c r="L80" s="4">
        <f>IF(OR(C80&lt;&gt;C79,K80="",K79=""),"",K80-K79)</f>
        <v/>
      </c>
      <c r="M80" s="4">
        <f>IF(L80="","",IF(L80=0,"repeat",IF(ABS(L80)&lt;=2,"step","leap")))</f>
        <v/>
      </c>
      <c r="N80" s="4">
        <f>IF(F80&lt;&gt;F79,"Y","")</f>
        <v/>
      </c>
      <c r="O80" s="5" t="inlineStr">
        <is>
          <t>N</t>
        </is>
      </c>
      <c r="P80" s="5" t="inlineStr">
        <is>
          <t>u</t>
        </is>
      </c>
      <c r="Q80" s="5" t="inlineStr">
        <is>
          <t>open</t>
        </is>
      </c>
      <c r="R80" s="6" t="n"/>
      <c r="S80" s="4" t="n"/>
      <c r="T80" s="4" t="n"/>
      <c r="U80" s="7" t="inlineStr"/>
    </row>
    <row r="81">
      <c r="A81" s="4" t="inlineStr">
        <is>
          <t>coda</t>
        </is>
      </c>
      <c r="B81" s="4" t="inlineStr">
        <is>
          <t>tag1</t>
        </is>
      </c>
      <c r="C81" s="4" t="inlineStr">
        <is>
          <t>lead</t>
        </is>
      </c>
      <c r="D81" s="4" t="n">
        <v>1</v>
      </c>
      <c r="E81" s="4" t="n">
        <v>2.5</v>
      </c>
      <c r="F81" s="4" t="inlineStr">
        <is>
          <t>IV</t>
        </is>
      </c>
      <c r="G81" s="4" t="inlineStr">
        <is>
          <t>C</t>
        </is>
      </c>
      <c r="H81" s="4" t="inlineStr">
        <is>
          <t>PD</t>
        </is>
      </c>
      <c r="I81" s="4" t="inlineStr">
        <is>
          <t>5</t>
        </is>
      </c>
      <c r="J81" s="4" t="inlineStr">
        <is>
          <t>D4</t>
        </is>
      </c>
      <c r="K81" s="4" t="n">
        <v>7</v>
      </c>
      <c r="L81" s="4">
        <f>IF(OR(C81&lt;&gt;C80,K81="",K80=""),"",K81-K80)</f>
        <v/>
      </c>
      <c r="M81" s="4">
        <f>IF(L81="","",IF(L81=0,"repeat",IF(ABS(L81)&lt;=2,"step","leap")))</f>
        <v/>
      </c>
      <c r="N81" s="4">
        <f>IF(F81&lt;&gt;F80,"Y","")</f>
        <v/>
      </c>
      <c r="O81" s="5" t="inlineStr">
        <is>
          <t>N</t>
        </is>
      </c>
      <c r="P81" s="5" t="inlineStr">
        <is>
          <t>S</t>
        </is>
      </c>
      <c r="Q81" s="5" t="inlineStr">
        <is>
          <t>open</t>
        </is>
      </c>
      <c r="R81" s="6" t="n"/>
      <c r="S81" s="4" t="n"/>
      <c r="T81" s="4" t="n"/>
      <c r="U81" s="7" t="inlineStr"/>
    </row>
    <row r="82">
      <c r="A82" s="4" t="inlineStr">
        <is>
          <t>coda</t>
        </is>
      </c>
      <c r="B82" s="4" t="inlineStr">
        <is>
          <t>tag1</t>
        </is>
      </c>
      <c r="C82" s="4" t="inlineStr">
        <is>
          <t>lead</t>
        </is>
      </c>
      <c r="D82" s="4" t="n">
        <v>1</v>
      </c>
      <c r="E82" s="4" t="n">
        <v>3</v>
      </c>
      <c r="F82" s="4" t="inlineStr">
        <is>
          <t>IV</t>
        </is>
      </c>
      <c r="G82" s="4" t="inlineStr">
        <is>
          <t>C</t>
        </is>
      </c>
      <c r="H82" s="4" t="inlineStr">
        <is>
          <t>PD</t>
        </is>
      </c>
      <c r="I82" s="4" t="inlineStr">
        <is>
          <t>5</t>
        </is>
      </c>
      <c r="J82" s="4" t="inlineStr">
        <is>
          <t>D4</t>
        </is>
      </c>
      <c r="K82" s="4" t="n">
        <v>7</v>
      </c>
      <c r="L82" s="4">
        <f>IF(OR(C82&lt;&gt;C81,K82="",K81=""),"",K82-K81)</f>
        <v/>
      </c>
      <c r="M82" s="4">
        <f>IF(L82="","",IF(L82=0,"repeat",IF(ABS(L82)&lt;=2,"step","leap")))</f>
        <v/>
      </c>
      <c r="N82" s="4">
        <f>IF(F82&lt;&gt;F81,"Y","")</f>
        <v/>
      </c>
      <c r="O82" s="5" t="inlineStr">
        <is>
          <t>N</t>
        </is>
      </c>
      <c r="P82" s="5" t="inlineStr">
        <is>
          <t>u</t>
        </is>
      </c>
      <c r="Q82" s="5" t="inlineStr">
        <is>
          <t>open</t>
        </is>
      </c>
      <c r="R82" s="6" t="n"/>
      <c r="S82" s="4" t="n"/>
      <c r="T82" s="4" t="n"/>
      <c r="U82" s="7" t="inlineStr"/>
    </row>
    <row r="83">
      <c r="A83" s="4" t="inlineStr">
        <is>
          <t>coda</t>
        </is>
      </c>
      <c r="B83" s="4" t="inlineStr">
        <is>
          <t>tag1</t>
        </is>
      </c>
      <c r="C83" s="4" t="inlineStr">
        <is>
          <t>lead</t>
        </is>
      </c>
      <c r="D83" s="4" t="n">
        <v>2</v>
      </c>
      <c r="E83" s="4" t="n">
        <v>1</v>
      </c>
      <c r="F83" s="4" t="inlineStr">
        <is>
          <t>V7</t>
        </is>
      </c>
      <c r="G83" s="4" t="inlineStr">
        <is>
          <t>D7</t>
        </is>
      </c>
      <c r="H83" s="4" t="inlineStr">
        <is>
          <t>D</t>
        </is>
      </c>
      <c r="I83" s="4" t="inlineStr">
        <is>
          <t>5</t>
        </is>
      </c>
      <c r="J83" s="4" t="inlineStr">
        <is>
          <t>D4</t>
        </is>
      </c>
      <c r="K83" s="4" t="n">
        <v>7</v>
      </c>
      <c r="L83" s="4">
        <f>IF(OR(C83&lt;&gt;C82,K83="",K82=""),"",K83-K82)</f>
        <v/>
      </c>
      <c r="M83" s="4">
        <f>IF(L83="","",IF(L83=0,"repeat",IF(ABS(L83)&lt;=2,"step","leap")))</f>
        <v/>
      </c>
      <c r="N83" s="4">
        <f>IF(F83&lt;&gt;F82,"Y","")</f>
        <v/>
      </c>
      <c r="O83" s="5" t="inlineStr">
        <is>
          <t>Y</t>
        </is>
      </c>
      <c r="P83" s="5" t="inlineStr">
        <is>
          <t>S</t>
        </is>
      </c>
      <c r="Q83" s="5" t="inlineStr">
        <is>
          <t>open</t>
        </is>
      </c>
      <c r="R83" s="6" t="n"/>
      <c r="S83" s="4" t="n"/>
      <c r="T83" s="4" t="n"/>
      <c r="U83" s="7" t="inlineStr"/>
    </row>
    <row r="84">
      <c r="A84" s="4" t="inlineStr">
        <is>
          <t>coda</t>
        </is>
      </c>
      <c r="B84" s="4" t="inlineStr">
        <is>
          <t>tag1</t>
        </is>
      </c>
      <c r="C84" s="4" t="inlineStr">
        <is>
          <t>lead</t>
        </is>
      </c>
      <c r="D84" s="4" t="n">
        <v>2</v>
      </c>
      <c r="E84" s="4" t="n">
        <v>3</v>
      </c>
      <c r="F84" s="4" t="inlineStr">
        <is>
          <t>V7</t>
        </is>
      </c>
      <c r="G84" s="4" t="inlineStr">
        <is>
          <t>D7</t>
        </is>
      </c>
      <c r="H84" s="4" t="inlineStr">
        <is>
          <t>D</t>
        </is>
      </c>
      <c r="I84" s="4" t="inlineStr">
        <is>
          <t>4</t>
        </is>
      </c>
      <c r="J84" s="4" t="inlineStr">
        <is>
          <t>C4</t>
        </is>
      </c>
      <c r="K84" s="4" t="n">
        <v>5</v>
      </c>
      <c r="L84" s="4">
        <f>IF(OR(C84&lt;&gt;C83,K84="",K83=""),"",K84-K83)</f>
        <v/>
      </c>
      <c r="M84" s="4">
        <f>IF(L84="","",IF(L84=0,"repeat",IF(ABS(L84)&lt;=2,"step","leap")))</f>
        <v/>
      </c>
      <c r="N84" s="4">
        <f>IF(F84&lt;&gt;F83,"Y","")</f>
        <v/>
      </c>
      <c r="O84" s="5" t="inlineStr">
        <is>
          <t>N</t>
        </is>
      </c>
      <c r="P84" s="5" t="inlineStr">
        <is>
          <t>u</t>
        </is>
      </c>
      <c r="Q84" s="5" t="inlineStr">
        <is>
          <t>open</t>
        </is>
      </c>
      <c r="R84" s="6" t="n"/>
      <c r="S84" s="4" t="n"/>
      <c r="T84" s="4" t="n"/>
      <c r="U84" s="7" t="inlineStr">
        <is>
          <t>approx</t>
        </is>
      </c>
    </row>
    <row r="85">
      <c r="A85" s="4" t="inlineStr">
        <is>
          <t>coda</t>
        </is>
      </c>
      <c r="B85" s="4" t="inlineStr">
        <is>
          <t>tag1</t>
        </is>
      </c>
      <c r="C85" s="4" t="inlineStr">
        <is>
          <t>lead</t>
        </is>
      </c>
      <c r="D85" s="4" t="n">
        <v>3</v>
      </c>
      <c r="E85" s="4" t="n">
        <v>1</v>
      </c>
      <c r="F85" s="4" t="inlineStr">
        <is>
          <t>III7</t>
        </is>
      </c>
      <c r="G85" s="4" t="inlineStr">
        <is>
          <t>B7</t>
        </is>
      </c>
      <c r="H85" s="4" t="inlineStr">
        <is>
          <t>D</t>
        </is>
      </c>
      <c r="I85" s="4" t="inlineStr">
        <is>
          <t>3</t>
        </is>
      </c>
      <c r="J85" s="4" t="inlineStr">
        <is>
          <t>B3</t>
        </is>
      </c>
      <c r="K85" s="4" t="n">
        <v>4</v>
      </c>
      <c r="L85" s="4">
        <f>IF(OR(C85&lt;&gt;C84,K85="",K84=""),"",K85-K84)</f>
        <v/>
      </c>
      <c r="M85" s="4">
        <f>IF(L85="","",IF(L85=0,"repeat",IF(ABS(L85)&lt;=2,"step","leap")))</f>
        <v/>
      </c>
      <c r="N85" s="4">
        <f>IF(F85&lt;&gt;F84,"Y","")</f>
        <v/>
      </c>
      <c r="O85" s="5" t="inlineStr">
        <is>
          <t>Y</t>
        </is>
      </c>
      <c r="P85" s="5" t="inlineStr">
        <is>
          <t>S</t>
        </is>
      </c>
      <c r="Q85" s="5" t="inlineStr">
        <is>
          <t>closed</t>
        </is>
      </c>
      <c r="R85" s="6" t="n"/>
      <c r="S85" s="4" t="n"/>
      <c r="T85" s="4" t="n"/>
      <c r="U85" s="7" t="inlineStr">
        <is>
          <t>title word parked on a whole-note 3 over III7 - not resolved yet</t>
        </is>
      </c>
    </row>
    <row r="86">
      <c r="A86" s="4" t="inlineStr">
        <is>
          <t>coda</t>
        </is>
      </c>
      <c r="B86" s="4" t="inlineStr">
        <is>
          <t>tag2</t>
        </is>
      </c>
      <c r="C86" s="4" t="inlineStr">
        <is>
          <t>lead</t>
        </is>
      </c>
      <c r="D86" s="4" t="n">
        <v>4</v>
      </c>
      <c r="E86" s="4" t="n">
        <v>1.5</v>
      </c>
      <c r="F86" s="4" t="inlineStr">
        <is>
          <t>IV</t>
        </is>
      </c>
      <c r="G86" s="4" t="inlineStr">
        <is>
          <t>C</t>
        </is>
      </c>
      <c r="H86" s="4" t="inlineStr">
        <is>
          <t>PD</t>
        </is>
      </c>
      <c r="I86" s="4" t="inlineStr">
        <is>
          <t>6</t>
        </is>
      </c>
      <c r="J86" s="4" t="inlineStr">
        <is>
          <t>E4</t>
        </is>
      </c>
      <c r="K86" s="4" t="n">
        <v>9</v>
      </c>
      <c r="L86" s="4">
        <f>IF(OR(C86&lt;&gt;C85,K86="",K85=""),"",K86-K85)</f>
        <v/>
      </c>
      <c r="M86" s="4">
        <f>IF(L86="","",IF(L86=0,"repeat",IF(ABS(L86)&lt;=2,"step","leap")))</f>
        <v/>
      </c>
      <c r="N86" s="4">
        <f>IF(F86&lt;&gt;F85,"Y","")</f>
        <v/>
      </c>
      <c r="O86" s="5" t="inlineStr">
        <is>
          <t>N</t>
        </is>
      </c>
      <c r="P86" s="5" t="inlineStr">
        <is>
          <t>S</t>
        </is>
      </c>
      <c r="Q86" s="5" t="inlineStr">
        <is>
          <t>open</t>
        </is>
      </c>
      <c r="R86" s="6" t="n"/>
      <c r="S86" s="4" t="n"/>
      <c r="T86" s="4" t="n"/>
      <c r="U86" s="7" t="inlineStr">
        <is>
          <t>one more time</t>
        </is>
      </c>
    </row>
    <row r="87">
      <c r="A87" s="4" t="inlineStr">
        <is>
          <t>coda</t>
        </is>
      </c>
      <c r="B87" s="4" t="inlineStr">
        <is>
          <t>tag2</t>
        </is>
      </c>
      <c r="C87" s="4" t="inlineStr">
        <is>
          <t>lead</t>
        </is>
      </c>
      <c r="D87" s="4" t="n">
        <v>4</v>
      </c>
      <c r="E87" s="4" t="n">
        <v>2</v>
      </c>
      <c r="F87" s="4" t="inlineStr">
        <is>
          <t>IV</t>
        </is>
      </c>
      <c r="G87" s="4" t="inlineStr">
        <is>
          <t>C</t>
        </is>
      </c>
      <c r="H87" s="4" t="inlineStr">
        <is>
          <t>PD</t>
        </is>
      </c>
      <c r="I87" s="4" t="inlineStr">
        <is>
          <t>6</t>
        </is>
      </c>
      <c r="J87" s="4" t="inlineStr">
        <is>
          <t>E4</t>
        </is>
      </c>
      <c r="K87" s="4" t="n">
        <v>9</v>
      </c>
      <c r="L87" s="4">
        <f>IF(OR(C87&lt;&gt;C86,K87="",K86=""),"",K87-K86)</f>
        <v/>
      </c>
      <c r="M87" s="4">
        <f>IF(L87="","",IF(L87=0,"repeat",IF(ABS(L87)&lt;=2,"step","leap")))</f>
        <v/>
      </c>
      <c r="N87" s="4">
        <f>IF(F87&lt;&gt;F86,"Y","")</f>
        <v/>
      </c>
      <c r="O87" s="5" t="inlineStr">
        <is>
          <t>N</t>
        </is>
      </c>
      <c r="P87" s="5" t="inlineStr">
        <is>
          <t>u</t>
        </is>
      </c>
      <c r="Q87" s="5" t="inlineStr">
        <is>
          <t>open</t>
        </is>
      </c>
      <c r="R87" s="6" t="n"/>
      <c r="S87" s="4" t="n"/>
      <c r="T87" s="4" t="n"/>
      <c r="U87" s="7" t="inlineStr"/>
    </row>
    <row r="88">
      <c r="A88" s="4" t="inlineStr">
        <is>
          <t>coda</t>
        </is>
      </c>
      <c r="B88" s="4" t="inlineStr">
        <is>
          <t>tag2</t>
        </is>
      </c>
      <c r="C88" s="4" t="inlineStr">
        <is>
          <t>lead</t>
        </is>
      </c>
      <c r="D88" s="4" t="n">
        <v>4</v>
      </c>
      <c r="E88" s="4" t="n">
        <v>2.5</v>
      </c>
      <c r="F88" s="4" t="inlineStr">
        <is>
          <t>IV</t>
        </is>
      </c>
      <c r="G88" s="4" t="inlineStr">
        <is>
          <t>C</t>
        </is>
      </c>
      <c r="H88" s="4" t="inlineStr">
        <is>
          <t>PD</t>
        </is>
      </c>
      <c r="I88" s="4" t="inlineStr">
        <is>
          <t>5</t>
        </is>
      </c>
      <c r="J88" s="4" t="inlineStr">
        <is>
          <t>D4</t>
        </is>
      </c>
      <c r="K88" s="4" t="n">
        <v>7</v>
      </c>
      <c r="L88" s="4">
        <f>IF(OR(C88&lt;&gt;C87,K88="",K87=""),"",K88-K87)</f>
        <v/>
      </c>
      <c r="M88" s="4">
        <f>IF(L88="","",IF(L88=0,"repeat",IF(ABS(L88)&lt;=2,"step","leap")))</f>
        <v/>
      </c>
      <c r="N88" s="4">
        <f>IF(F88&lt;&gt;F87,"Y","")</f>
        <v/>
      </c>
      <c r="O88" s="5" t="inlineStr">
        <is>
          <t>N</t>
        </is>
      </c>
      <c r="P88" s="5" t="inlineStr">
        <is>
          <t>S</t>
        </is>
      </c>
      <c r="Q88" s="5" t="inlineStr">
        <is>
          <t>open</t>
        </is>
      </c>
      <c r="R88" s="6" t="n"/>
      <c r="S88" s="4" t="n"/>
      <c r="T88" s="4" t="n"/>
      <c r="U88" s="7" t="inlineStr"/>
    </row>
    <row r="89">
      <c r="A89" s="4" t="inlineStr">
        <is>
          <t>coda</t>
        </is>
      </c>
      <c r="B89" s="4" t="inlineStr">
        <is>
          <t>tag2</t>
        </is>
      </c>
      <c r="C89" s="4" t="inlineStr">
        <is>
          <t>lead</t>
        </is>
      </c>
      <c r="D89" s="4" t="n">
        <v>4</v>
      </c>
      <c r="E89" s="4" t="n">
        <v>3</v>
      </c>
      <c r="F89" s="4" t="inlineStr">
        <is>
          <t>IV</t>
        </is>
      </c>
      <c r="G89" s="4" t="inlineStr">
        <is>
          <t>C</t>
        </is>
      </c>
      <c r="H89" s="4" t="inlineStr">
        <is>
          <t>PD</t>
        </is>
      </c>
      <c r="I89" s="4" t="inlineStr">
        <is>
          <t>5</t>
        </is>
      </c>
      <c r="J89" s="4" t="inlineStr">
        <is>
          <t>D4</t>
        </is>
      </c>
      <c r="K89" s="4" t="n">
        <v>7</v>
      </c>
      <c r="L89" s="4">
        <f>IF(OR(C89&lt;&gt;C88,K89="",K88=""),"",K89-K88)</f>
        <v/>
      </c>
      <c r="M89" s="4">
        <f>IF(L89="","",IF(L89=0,"repeat",IF(ABS(L89)&lt;=2,"step","leap")))</f>
        <v/>
      </c>
      <c r="N89" s="4">
        <f>IF(F89&lt;&gt;F88,"Y","")</f>
        <v/>
      </c>
      <c r="O89" s="5" t="inlineStr">
        <is>
          <t>N</t>
        </is>
      </c>
      <c r="P89" s="5" t="inlineStr">
        <is>
          <t>u</t>
        </is>
      </c>
      <c r="Q89" s="5" t="inlineStr">
        <is>
          <t>open</t>
        </is>
      </c>
      <c r="R89" s="6" t="n"/>
      <c r="S89" s="4" t="n"/>
      <c r="T89" s="4" t="n"/>
      <c r="U89" s="7" t="inlineStr"/>
    </row>
    <row r="90">
      <c r="A90" s="4" t="inlineStr">
        <is>
          <t>coda</t>
        </is>
      </c>
      <c r="B90" s="4" t="inlineStr">
        <is>
          <t>tag2</t>
        </is>
      </c>
      <c r="C90" s="4" t="inlineStr">
        <is>
          <t>lead</t>
        </is>
      </c>
      <c r="D90" s="4" t="n">
        <v>5</v>
      </c>
      <c r="E90" s="4" t="n">
        <v>1</v>
      </c>
      <c r="F90" s="4" t="inlineStr">
        <is>
          <t>V7</t>
        </is>
      </c>
      <c r="G90" s="4" t="inlineStr">
        <is>
          <t>D7</t>
        </is>
      </c>
      <c r="H90" s="4" t="inlineStr">
        <is>
          <t>D</t>
        </is>
      </c>
      <c r="I90" s="4" t="inlineStr">
        <is>
          <t>5</t>
        </is>
      </c>
      <c r="J90" s="4" t="inlineStr">
        <is>
          <t>D4</t>
        </is>
      </c>
      <c r="K90" s="4" t="n">
        <v>7</v>
      </c>
      <c r="L90" s="4">
        <f>IF(OR(C90&lt;&gt;C89,K90="",K89=""),"",K90-K89)</f>
        <v/>
      </c>
      <c r="M90" s="4">
        <f>IF(L90="","",IF(L90=0,"repeat",IF(ABS(L90)&lt;=2,"step","leap")))</f>
        <v/>
      </c>
      <c r="N90" s="4">
        <f>IF(F90&lt;&gt;F89,"Y","")</f>
        <v/>
      </c>
      <c r="O90" s="5" t="inlineStr">
        <is>
          <t>Y</t>
        </is>
      </c>
      <c r="P90" s="5" t="inlineStr">
        <is>
          <t>S</t>
        </is>
      </c>
      <c r="Q90" s="5" t="inlineStr">
        <is>
          <t>open</t>
        </is>
      </c>
      <c r="R90" s="6" t="n"/>
      <c r="S90" s="4" t="n"/>
      <c r="T90" s="4" t="n"/>
      <c r="U90" s="7" t="inlineStr"/>
    </row>
    <row r="91">
      <c r="A91" s="4" t="inlineStr">
        <is>
          <t>coda</t>
        </is>
      </c>
      <c r="B91" s="4" t="inlineStr">
        <is>
          <t>tag2</t>
        </is>
      </c>
      <c r="C91" s="4" t="inlineStr">
        <is>
          <t>lead</t>
        </is>
      </c>
      <c r="D91" s="4" t="n">
        <v>5</v>
      </c>
      <c r="E91" s="4" t="n">
        <v>3</v>
      </c>
      <c r="F91" s="4" t="inlineStr">
        <is>
          <t>V7</t>
        </is>
      </c>
      <c r="G91" s="4" t="inlineStr">
        <is>
          <t>D7</t>
        </is>
      </c>
      <c r="H91" s="4" t="inlineStr">
        <is>
          <t>D</t>
        </is>
      </c>
      <c r="I91" s="4" t="inlineStr">
        <is>
          <t>4</t>
        </is>
      </c>
      <c r="J91" s="4" t="inlineStr">
        <is>
          <t>C4</t>
        </is>
      </c>
      <c r="K91" s="4" t="n">
        <v>5</v>
      </c>
      <c r="L91" s="4">
        <f>IF(OR(C91&lt;&gt;C90,K91="",K90=""),"",K91-K90)</f>
        <v/>
      </c>
      <c r="M91" s="4">
        <f>IF(L91="","",IF(L91=0,"repeat",IF(ABS(L91)&lt;=2,"step","leap")))</f>
        <v/>
      </c>
      <c r="N91" s="4">
        <f>IF(F91&lt;&gt;F90,"Y","")</f>
        <v/>
      </c>
      <c r="O91" s="5" t="inlineStr">
        <is>
          <t>N</t>
        </is>
      </c>
      <c r="P91" s="5" t="inlineStr">
        <is>
          <t>u</t>
        </is>
      </c>
      <c r="Q91" s="5" t="inlineStr">
        <is>
          <t>open</t>
        </is>
      </c>
      <c r="R91" s="6" t="n"/>
      <c r="S91" s="4" t="n"/>
      <c r="T91" s="4" t="n"/>
      <c r="U91" s="7" t="inlineStr">
        <is>
          <t>approx</t>
        </is>
      </c>
    </row>
    <row r="92">
      <c r="A92" s="4" t="inlineStr">
        <is>
          <t>coda</t>
        </is>
      </c>
      <c r="B92" s="4" t="inlineStr">
        <is>
          <t>tag2</t>
        </is>
      </c>
      <c r="C92" s="4" t="inlineStr">
        <is>
          <t>lead</t>
        </is>
      </c>
      <c r="D92" s="4" t="n">
        <v>6</v>
      </c>
      <c r="E92" s="4" t="n">
        <v>1</v>
      </c>
      <c r="F92" s="4" t="inlineStr">
        <is>
          <t>IV</t>
        </is>
      </c>
      <c r="G92" s="4" t="inlineStr">
        <is>
          <t>C</t>
        </is>
      </c>
      <c r="H92" s="4" t="inlineStr">
        <is>
          <t>PD</t>
        </is>
      </c>
      <c r="I92" s="4" t="inlineStr">
        <is>
          <t>4</t>
        </is>
      </c>
      <c r="J92" s="4" t="inlineStr">
        <is>
          <t>C4</t>
        </is>
      </c>
      <c r="K92" s="4" t="n">
        <v>5</v>
      </c>
      <c r="L92" s="4">
        <f>IF(OR(C92&lt;&gt;C91,K92="",K91=""),"",K92-K91)</f>
        <v/>
      </c>
      <c r="M92" s="4">
        <f>IF(L92="","",IF(L92=0,"repeat",IF(ABS(L92)&lt;=2,"step","leap")))</f>
        <v/>
      </c>
      <c r="N92" s="4">
        <f>IF(F92&lt;&gt;F91,"Y","")</f>
        <v/>
      </c>
      <c r="O92" s="5" t="inlineStr">
        <is>
          <t>Y</t>
        </is>
      </c>
      <c r="P92" s="5" t="inlineStr">
        <is>
          <t>S</t>
        </is>
      </c>
      <c r="Q92" s="5" t="inlineStr">
        <is>
          <t>open</t>
        </is>
      </c>
      <c r="R92" s="6" t="n"/>
      <c r="S92" s="4" t="n"/>
      <c r="T92" s="4" t="n"/>
      <c r="U92" s="7" t="inlineStr">
        <is>
          <t>closing melisma: two descending TRIPLET groups on the title word</t>
        </is>
      </c>
    </row>
    <row r="93">
      <c r="A93" s="4" t="inlineStr">
        <is>
          <t>coda</t>
        </is>
      </c>
      <c r="B93" s="4" t="inlineStr">
        <is>
          <t>tag2</t>
        </is>
      </c>
      <c r="C93" s="4" t="inlineStr">
        <is>
          <t>lead</t>
        </is>
      </c>
      <c r="D93" s="4" t="n">
        <v>6</v>
      </c>
      <c r="E93" s="4" t="n">
        <v>1.33</v>
      </c>
      <c r="F93" s="4" t="inlineStr">
        <is>
          <t>IV</t>
        </is>
      </c>
      <c r="G93" s="4" t="inlineStr">
        <is>
          <t>C</t>
        </is>
      </c>
      <c r="H93" s="4" t="inlineStr">
        <is>
          <t>PD</t>
        </is>
      </c>
      <c r="I93" s="4" t="inlineStr">
        <is>
          <t>3</t>
        </is>
      </c>
      <c r="J93" s="4" t="inlineStr">
        <is>
          <t>B3</t>
        </is>
      </c>
      <c r="K93" s="4" t="n">
        <v>4</v>
      </c>
      <c r="L93" s="4">
        <f>IF(OR(C93&lt;&gt;C92,K93="",K92=""),"",K93-K92)</f>
        <v/>
      </c>
      <c r="M93" s="4">
        <f>IF(L93="","",IF(L93=0,"repeat",IF(ABS(L93)&lt;=2,"step","leap")))</f>
        <v/>
      </c>
      <c r="N93" s="4">
        <f>IF(F93&lt;&gt;F92,"Y","")</f>
        <v/>
      </c>
      <c r="O93" s="5" t="inlineStr">
        <is>
          <t>N</t>
        </is>
      </c>
      <c r="P93" s="5" t="inlineStr">
        <is>
          <t>u</t>
        </is>
      </c>
      <c r="Q93" s="5" t="inlineStr">
        <is>
          <t>open</t>
        </is>
      </c>
      <c r="R93" s="6" t="n"/>
      <c r="S93" s="4" t="n"/>
      <c r="T93" s="4" t="n"/>
      <c r="U93" s="7" t="inlineStr">
        <is>
          <t>triplet</t>
        </is>
      </c>
    </row>
    <row r="94">
      <c r="A94" s="4" t="inlineStr">
        <is>
          <t>coda</t>
        </is>
      </c>
      <c r="B94" s="4" t="inlineStr">
        <is>
          <t>tag2</t>
        </is>
      </c>
      <c r="C94" s="4" t="inlineStr">
        <is>
          <t>lead</t>
        </is>
      </c>
      <c r="D94" s="4" t="n">
        <v>6</v>
      </c>
      <c r="E94" s="4" t="n">
        <v>1.67</v>
      </c>
      <c r="F94" s="4" t="inlineStr">
        <is>
          <t>IV</t>
        </is>
      </c>
      <c r="G94" s="4" t="inlineStr">
        <is>
          <t>C</t>
        </is>
      </c>
      <c r="H94" s="4" t="inlineStr">
        <is>
          <t>PD</t>
        </is>
      </c>
      <c r="I94" s="4" t="inlineStr">
        <is>
          <t>2</t>
        </is>
      </c>
      <c r="J94" s="4" t="inlineStr">
        <is>
          <t>A3</t>
        </is>
      </c>
      <c r="K94" s="4" t="n">
        <v>2</v>
      </c>
      <c r="L94" s="4">
        <f>IF(OR(C94&lt;&gt;C93,K94="",K93=""),"",K94-K93)</f>
        <v/>
      </c>
      <c r="M94" s="4">
        <f>IF(L94="","",IF(L94=0,"repeat",IF(ABS(L94)&lt;=2,"step","leap")))</f>
        <v/>
      </c>
      <c r="N94" s="4">
        <f>IF(F94&lt;&gt;F93,"Y","")</f>
        <v/>
      </c>
      <c r="O94" s="5" t="inlineStr">
        <is>
          <t>N</t>
        </is>
      </c>
      <c r="P94" s="5" t="inlineStr">
        <is>
          <t>u</t>
        </is>
      </c>
      <c r="Q94" s="5" t="inlineStr">
        <is>
          <t>open</t>
        </is>
      </c>
      <c r="R94" s="6" t="n"/>
      <c r="S94" s="4" t="n"/>
      <c r="T94" s="4" t="n"/>
      <c r="U94" s="7" t="inlineStr">
        <is>
          <t>triplet</t>
        </is>
      </c>
    </row>
    <row r="95">
      <c r="A95" s="4" t="inlineStr">
        <is>
          <t>coda</t>
        </is>
      </c>
      <c r="B95" s="4" t="inlineStr">
        <is>
          <t>tag2</t>
        </is>
      </c>
      <c r="C95" s="4" t="inlineStr">
        <is>
          <t>lead</t>
        </is>
      </c>
      <c r="D95" s="4" t="n">
        <v>6</v>
      </c>
      <c r="E95" s="4" t="n">
        <v>2</v>
      </c>
      <c r="F95" s="4" t="inlineStr">
        <is>
          <t>IV</t>
        </is>
      </c>
      <c r="G95" s="4" t="inlineStr">
        <is>
          <t>C</t>
        </is>
      </c>
      <c r="H95" s="4" t="inlineStr">
        <is>
          <t>PD</t>
        </is>
      </c>
      <c r="I95" s="4" t="inlineStr">
        <is>
          <t>4</t>
        </is>
      </c>
      <c r="J95" s="4" t="inlineStr">
        <is>
          <t>C4</t>
        </is>
      </c>
      <c r="K95" s="4" t="n">
        <v>5</v>
      </c>
      <c r="L95" s="4">
        <f>IF(OR(C95&lt;&gt;C94,K95="",K94=""),"",K95-K94)</f>
        <v/>
      </c>
      <c r="M95" s="4">
        <f>IF(L95="","",IF(L95=0,"repeat",IF(ABS(L95)&lt;=2,"step","leap")))</f>
        <v/>
      </c>
      <c r="N95" s="4">
        <f>IF(F95&lt;&gt;F94,"Y","")</f>
        <v/>
      </c>
      <c r="O95" s="5" t="inlineStr">
        <is>
          <t>Y</t>
        </is>
      </c>
      <c r="P95" s="5" t="inlineStr">
        <is>
          <t>S</t>
        </is>
      </c>
      <c r="Q95" s="5" t="inlineStr">
        <is>
          <t>open</t>
        </is>
      </c>
      <c r="R95" s="6" t="n"/>
      <c r="S95" s="4" t="n"/>
      <c r="T95" s="4" t="n"/>
      <c r="U95" s="7" t="inlineStr">
        <is>
          <t>second triplet group</t>
        </is>
      </c>
    </row>
    <row r="96">
      <c r="A96" s="4" t="inlineStr">
        <is>
          <t>coda</t>
        </is>
      </c>
      <c r="B96" s="4" t="inlineStr">
        <is>
          <t>tag2</t>
        </is>
      </c>
      <c r="C96" s="4" t="inlineStr">
        <is>
          <t>lead</t>
        </is>
      </c>
      <c r="D96" s="4" t="n">
        <v>6</v>
      </c>
      <c r="E96" s="4" t="n">
        <v>2.33</v>
      </c>
      <c r="F96" s="4" t="inlineStr">
        <is>
          <t>IV</t>
        </is>
      </c>
      <c r="G96" s="4" t="inlineStr">
        <is>
          <t>C</t>
        </is>
      </c>
      <c r="H96" s="4" t="inlineStr">
        <is>
          <t>PD</t>
        </is>
      </c>
      <c r="I96" s="4" t="inlineStr">
        <is>
          <t>3</t>
        </is>
      </c>
      <c r="J96" s="4" t="inlineStr">
        <is>
          <t>B3</t>
        </is>
      </c>
      <c r="K96" s="4" t="n">
        <v>4</v>
      </c>
      <c r="L96" s="4">
        <f>IF(OR(C96&lt;&gt;C95,K96="",K95=""),"",K96-K95)</f>
        <v/>
      </c>
      <c r="M96" s="4">
        <f>IF(L96="","",IF(L96=0,"repeat",IF(ABS(L96)&lt;=2,"step","leap")))</f>
        <v/>
      </c>
      <c r="N96" s="4">
        <f>IF(F96&lt;&gt;F95,"Y","")</f>
        <v/>
      </c>
      <c r="O96" s="5" t="inlineStr">
        <is>
          <t>N</t>
        </is>
      </c>
      <c r="P96" s="5" t="inlineStr">
        <is>
          <t>u</t>
        </is>
      </c>
      <c r="Q96" s="5" t="inlineStr">
        <is>
          <t>open</t>
        </is>
      </c>
      <c r="R96" s="6" t="n"/>
      <c r="S96" s="4" t="n"/>
      <c r="T96" s="4" t="n"/>
      <c r="U96" s="7" t="inlineStr">
        <is>
          <t>triplet</t>
        </is>
      </c>
    </row>
    <row r="97">
      <c r="A97" s="4" t="inlineStr">
        <is>
          <t>coda</t>
        </is>
      </c>
      <c r="B97" s="4" t="inlineStr">
        <is>
          <t>tag2</t>
        </is>
      </c>
      <c r="C97" s="4" t="inlineStr">
        <is>
          <t>lead</t>
        </is>
      </c>
      <c r="D97" s="4" t="n">
        <v>6</v>
      </c>
      <c r="E97" s="4" t="n">
        <v>2.67</v>
      </c>
      <c r="F97" s="4" t="inlineStr">
        <is>
          <t>IV</t>
        </is>
      </c>
      <c r="G97" s="4" t="inlineStr">
        <is>
          <t>C</t>
        </is>
      </c>
      <c r="H97" s="4" t="inlineStr">
        <is>
          <t>PD</t>
        </is>
      </c>
      <c r="I97" s="4" t="inlineStr">
        <is>
          <t>2</t>
        </is>
      </c>
      <c r="J97" s="4" t="inlineStr">
        <is>
          <t>A3</t>
        </is>
      </c>
      <c r="K97" s="4" t="n">
        <v>2</v>
      </c>
      <c r="L97" s="4">
        <f>IF(OR(C97&lt;&gt;C96,K97="",K96=""),"",K97-K96)</f>
        <v/>
      </c>
      <c r="M97" s="4">
        <f>IF(L97="","",IF(L97=0,"repeat",IF(ABS(L97)&lt;=2,"step","leap")))</f>
        <v/>
      </c>
      <c r="N97" s="4">
        <f>IF(F97&lt;&gt;F96,"Y","")</f>
        <v/>
      </c>
      <c r="O97" s="5" t="inlineStr">
        <is>
          <t>N</t>
        </is>
      </c>
      <c r="P97" s="5" t="inlineStr">
        <is>
          <t>u</t>
        </is>
      </c>
      <c r="Q97" s="5" t="inlineStr">
        <is>
          <t>open</t>
        </is>
      </c>
      <c r="R97" s="6" t="n"/>
      <c r="S97" s="4" t="n"/>
      <c r="T97" s="4" t="n"/>
      <c r="U97" s="7" t="inlineStr">
        <is>
          <t>triplet</t>
        </is>
      </c>
    </row>
    <row r="98">
      <c r="A98" s="4" t="inlineStr">
        <is>
          <t>coda</t>
        </is>
      </c>
      <c r="B98" s="4" t="inlineStr">
        <is>
          <t>tag2</t>
        </is>
      </c>
      <c r="C98" s="4" t="inlineStr">
        <is>
          <t>lead</t>
        </is>
      </c>
      <c r="D98" s="4" t="n">
        <v>7</v>
      </c>
      <c r="E98" s="4" t="n">
        <v>1</v>
      </c>
      <c r="F98" s="4" t="inlineStr">
        <is>
          <t>I</t>
        </is>
      </c>
      <c r="G98" s="4" t="inlineStr">
        <is>
          <t>G</t>
        </is>
      </c>
      <c r="H98" s="4" t="inlineStr">
        <is>
          <t>T</t>
        </is>
      </c>
      <c r="I98" s="4" t="inlineStr">
        <is>
          <t>3</t>
        </is>
      </c>
      <c r="J98" s="4" t="inlineStr">
        <is>
          <t>B3</t>
        </is>
      </c>
      <c r="K98" s="4" t="n">
        <v>4</v>
      </c>
      <c r="L98" s="4">
        <f>IF(OR(C98&lt;&gt;C97,K98="",K97=""),"",K98-K97)</f>
        <v/>
      </c>
      <c r="M98" s="4">
        <f>IF(L98="","",IF(L98=0,"repeat",IF(ABS(L98)&lt;=2,"step","leap")))</f>
        <v/>
      </c>
      <c r="N98" s="4">
        <f>IF(F98&lt;&gt;F97,"Y","")</f>
        <v/>
      </c>
      <c r="O98" s="5" t="inlineStr">
        <is>
          <t>Y</t>
        </is>
      </c>
      <c r="P98" s="5" t="inlineStr">
        <is>
          <t>S</t>
        </is>
      </c>
      <c r="Q98" s="5" t="inlineStr">
        <is>
          <t>open</t>
        </is>
      </c>
      <c r="R98" s="6" t="n"/>
      <c r="S98" s="4" t="inlineStr">
        <is>
          <t>1</t>
        </is>
      </c>
      <c r="T98" s="4" t="inlineStr">
        <is>
          <t>3rd below</t>
        </is>
      </c>
      <c r="U98" s="7" t="inlineStr">
        <is>
          <t>final chord: voices land (G+B), ritardando - full close on I</t>
        </is>
      </c>
    </row>
  </sheetData>
  <autoFilter ref="A1:U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2026-07-12T17:02:05Z</dcterms:created>
  <dcterms:modified xsi:type="dcterms:W3CDTF">2026-07-12T17:02:05Z</dcterms:modified>
</cp:coreProperties>
</file>