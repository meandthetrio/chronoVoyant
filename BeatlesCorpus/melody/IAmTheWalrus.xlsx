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Notes" sheetId="2" state="visible" r:id="rId2"/>
  </sheets>
  <definedNames>
    <definedName name="_xlnm._FilterDatabase" localSheetId="1" hidden="1">'Notes'!$A$1:$U$191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 Am the Walrus - melody/chord/word sync</t>
        </is>
      </c>
    </row>
    <row r="2">
      <c r="A2" s="2" t="inlineStr">
        <is>
          <t>Key: A major (score key signature = 3 sharps; corpus agrees). One row per sung lead note;</t>
        </is>
      </c>
    </row>
    <row r="3">
      <c r="A3" s="2" t="inlineStr">
        <is>
          <t>each distinct section appears once - the three stacked lyric strata (1x / 2x / D.S.2x) of the</t>
        </is>
      </c>
    </row>
    <row r="4">
      <c r="A4" s="2" t="inlineStr">
        <is>
          <t>verses share the same notes, so verse rows serve verses 1-3, and the chorus serves all passes.</t>
        </is>
      </c>
    </row>
    <row r="5">
      <c r="A5" s="2" t="inlineStr"/>
    </row>
    <row r="6">
      <c r="A6" s="2" t="inlineStr">
        <is>
          <t>SOURCES: Complete Scores pp.425-431 (PDF pages 415-421); chords/functions cross-checked against</t>
        </is>
      </c>
    </row>
    <row r="7">
      <c r="A7" s="2" t="inlineStr">
        <is>
          <t>BeatlesCorpus/songs/09_-_Magical_Mystery_Tour/06_-_I_Am_The_Walrus.md (Isophonics + BeatlesFC).</t>
        </is>
      </c>
    </row>
    <row r="8">
      <c r="A8" s="2" t="inlineStr">
        <is>
          <t>Where they disagree the SCORE was trusted for bar placement and the disagreement noted in-row:</t>
        </is>
      </c>
    </row>
    <row r="9">
      <c r="A9" s="2" t="inlineStr">
        <is>
          <t xml:space="preserve">  1) refrain: corpus has bIII-IV-V(D)-I; score runs C-C-D-D straight into the A 'crying' bar (no V).</t>
        </is>
      </c>
    </row>
    <row r="10">
      <c r="A10" s="2" t="inlineStr">
        <is>
          <t xml:space="preserve">  2) verse-variant bar 3: score D9/F# where the corpus hears vi7 (F#m7) - same F# bass, richer ear.</t>
        </is>
      </c>
    </row>
    <row r="11">
      <c r="A11" s="2" t="inlineStr">
        <is>
          <t xml:space="preserve">  3) score's verse-closing D/E (V-pedal 11th) bar does not exist in the corpus at all.</t>
        </is>
      </c>
    </row>
    <row r="12">
      <c r="A12" s="2" t="inlineStr">
        <is>
          <t xml:space="preserve">  4) outro fade: score prints plain A G F E D C B; corpus hears IVmaj9, bIIImaj(#11), bVII/3 colors.</t>
        </is>
      </c>
    </row>
    <row r="13">
      <c r="A13" s="2" t="inlineStr"/>
    </row>
    <row r="14">
      <c r="A14" s="2" t="inlineStr">
        <is>
          <t>READING NOTES: vocal sounds an octave below written pitch (male 8vb); note column = SOUNDING pitch,</t>
        </is>
      </c>
    </row>
    <row r="15">
      <c r="A15" s="2" t="inlineStr">
        <is>
          <t>semis = semitones above A3 (negative = below A3, e.g. the 'grow long' drop to F#3).</t>
        </is>
      </c>
    </row>
    <row r="16">
      <c r="A16" s="2" t="inlineStr">
        <is>
          <t>This song is chanted on repeated notes with chromatic inflections - the accidentals ARE the melody:</t>
        </is>
      </c>
    </row>
    <row r="17">
      <c r="A17" s="2" t="inlineStr">
        <is>
          <t>engraved #4 (D#) inside I and bIII bars, blue b3 (C-natural) at the eggman chant and pickups,</t>
        </is>
      </c>
    </row>
    <row r="18">
      <c r="A18" s="2" t="inlineStr">
        <is>
          <t>b7 (G-natural) at the verse peak and the held 'crying' note, then the same wail re-spelled as the</t>
        </is>
      </c>
    </row>
    <row r="19">
      <c r="A19" s="2" t="inlineStr">
        <is>
          <t>leading tone (G#) over V. Rows marked 'approx' in the comment need an ear-check.</t>
        </is>
      </c>
    </row>
    <row r="20">
      <c r="A20" s="2" t="inlineStr"/>
    </row>
    <row r="21">
      <c r="A21" s="2" t="inlineStr">
        <is>
          <t>VOICES: voice='chorus' rows are the backing Chorus staff (independent, so no harm_ columns):</t>
        </is>
      </c>
    </row>
    <row r="22">
      <c r="A22" s="2" t="inlineStr">
        <is>
          <t>half-note wails with written fall/gliss lines in the chorus, x-notehead shout chants (unpitched,</t>
        </is>
      </c>
    </row>
    <row r="23">
      <c r="A23" s="2" t="inlineStr">
        <is>
          <t>note='X', no semis) in the D.S. passes, and '(Rhythmical Speaking)' through the fade. The lead's</t>
        </is>
      </c>
    </row>
    <row r="24">
      <c r="A24" s="2" t="inlineStr">
        <is>
          <t>own ju-ba chant and the '(Speaking)' collage bars are also unpitched X rows. Intro (B-A-G-F-E7,</t>
        </is>
      </c>
    </row>
    <row r="25">
      <c r="A25" s="2" t="inlineStr">
        <is>
          <t>corpus II-I-bVII-bVI-V7, 8 bars) is fully vocal-tacet and has no rows.</t>
        </is>
      </c>
    </row>
    <row r="26">
      <c r="A26" s="2" t="inlineStr"/>
    </row>
    <row r="27">
      <c r="A27" s="2" t="inlineStr">
        <is>
          <t>YELLOW column 'word' is yours to fill while listening - one word/syllable per row.</t>
        </is>
      </c>
    </row>
    <row r="28">
      <c r="A28" s="2" t="inlineStr"/>
    </row>
    <row r="29">
      <c r="A29" s="2" t="inlineStr">
        <is>
          <t>Column guide: as in AcrossTheUniverse.xlsx (section/phrase/voice/bar/beat/chord/function/degree/</t>
        </is>
      </c>
    </row>
    <row r="30">
      <c r="A30" s="2" t="inlineStr">
        <is>
          <t>note/semis/interval/motion/chord_change/chord_tone/stress/vowel/word/harm/comment).</t>
        </is>
      </c>
    </row>
    <row r="31">
      <c r="A31" s="2" t="inlineStr">
        <is>
          <t>Bars are numbered inside each section. Filter ideas: note='X' -&gt; every unpitched chant;</t>
        </is>
      </c>
    </row>
    <row r="32">
      <c r="A32" s="2" t="inlineStr">
        <is>
          <t>degree in {b3,#4,b7,7} -&gt; the chromatic skeleton; section='chorus' -&gt; the rising eggman terraces.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5" customWidth="1" min="4" max="4"/>
    <col width="6" customWidth="1" min="5" max="5"/>
    <col width="8" customWidth="1" min="6" max="6"/>
    <col width="11" customWidth="1" min="7" max="7"/>
    <col width="9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13" customWidth="1" min="14" max="14"/>
    <col width="11" customWidth="1" min="15" max="15"/>
    <col width="7" customWidth="1" min="16" max="16"/>
    <col width="8" customWidth="1" min="17" max="17"/>
    <col width="14" customWidth="1" min="18" max="18"/>
    <col width="12" customWidth="1" min="19" max="19"/>
    <col width="13" customWidth="1" min="20" max="20"/>
    <col width="60" customWidth="1" min="21" max="21"/>
  </cols>
  <sheetData>
    <row r="1">
      <c r="A1" s="3" t="inlineStr">
        <is>
          <t>section</t>
        </is>
      </c>
      <c r="B1" s="3" t="inlineStr">
        <is>
          <t>phrase</t>
        </is>
      </c>
      <c r="C1" s="3" t="inlineStr">
        <is>
          <t>voice</t>
        </is>
      </c>
      <c r="D1" s="3" t="inlineStr">
        <is>
          <t>bar</t>
        </is>
      </c>
      <c r="E1" s="3" t="inlineStr">
        <is>
          <t>beat</t>
        </is>
      </c>
      <c r="F1" s="3" t="inlineStr">
        <is>
          <t>chord</t>
        </is>
      </c>
      <c r="G1" s="3" t="inlineStr">
        <is>
          <t>chord_letter</t>
        </is>
      </c>
      <c r="H1" s="3" t="inlineStr">
        <is>
          <t>function</t>
        </is>
      </c>
      <c r="I1" s="3" t="inlineStr">
        <is>
          <t>degree</t>
        </is>
      </c>
      <c r="J1" s="3" t="inlineStr">
        <is>
          <t>note</t>
        </is>
      </c>
      <c r="K1" s="3" t="inlineStr">
        <is>
          <t>semis</t>
        </is>
      </c>
      <c r="L1" s="3" t="inlineStr">
        <is>
          <t>interval</t>
        </is>
      </c>
      <c r="M1" s="3" t="inlineStr">
        <is>
          <t>motion</t>
        </is>
      </c>
      <c r="N1" s="3" t="inlineStr">
        <is>
          <t>chord_change</t>
        </is>
      </c>
      <c r="O1" s="3" t="inlineStr">
        <is>
          <t>chord_tone</t>
        </is>
      </c>
      <c r="P1" s="3" t="inlineStr">
        <is>
          <t>stress</t>
        </is>
      </c>
      <c r="Q1" s="3" t="inlineStr">
        <is>
          <t>vowel</t>
        </is>
      </c>
      <c r="R1" s="3" t="inlineStr">
        <is>
          <t>word</t>
        </is>
      </c>
      <c r="S1" s="3" t="inlineStr">
        <is>
          <t>harm_degrees</t>
        </is>
      </c>
      <c r="T1" s="3" t="inlineStr">
        <is>
          <t>harm_intervals</t>
        </is>
      </c>
      <c r="U1" s="3" t="inlineStr">
        <is>
          <t>comment</t>
        </is>
      </c>
    </row>
    <row r="2">
      <c r="A2" s="4" t="inlineStr">
        <is>
          <t>verse</t>
        </is>
      </c>
      <c r="B2" s="4" t="inlineStr">
        <is>
          <t>V1a</t>
        </is>
      </c>
      <c r="C2" s="4" t="inlineStr">
        <is>
          <t>lead</t>
        </is>
      </c>
      <c r="D2" s="4" t="n">
        <v>1</v>
      </c>
      <c r="E2" s="4" t="n">
        <v>1</v>
      </c>
      <c r="F2" s="4" t="inlineStr">
        <is>
          <t>I</t>
        </is>
      </c>
      <c r="G2" s="4" t="inlineStr">
        <is>
          <t>A</t>
        </is>
      </c>
      <c r="H2" s="4" t="inlineStr">
        <is>
          <t>T</t>
        </is>
      </c>
      <c r="I2" s="4" t="inlineStr">
        <is>
          <t>5</t>
        </is>
      </c>
      <c r="J2" s="4" t="inlineStr">
        <is>
          <t>E4</t>
        </is>
      </c>
      <c r="K2" s="4" t="n">
        <v>7</v>
      </c>
      <c r="L2" s="4" t="inlineStr"/>
      <c r="M2" s="4">
        <f>IF(L2="","",IF(L2=0,"repeat",IF(ABS(L2)&lt;=2,"step","leap")))</f>
        <v/>
      </c>
      <c r="N2" s="4">
        <f>"Y"</f>
        <v/>
      </c>
      <c r="O2" s="5" t="inlineStr">
        <is>
          <t>Y</t>
        </is>
      </c>
      <c r="P2" s="5" t="inlineStr">
        <is>
          <t>S</t>
        </is>
      </c>
      <c r="Q2" s="5" t="inlineStr">
        <is>
          <t>open</t>
        </is>
      </c>
      <c r="R2" s="6" t="n"/>
      <c r="S2" s="4" t="n"/>
      <c r="T2" s="4" t="n"/>
      <c r="U2" s="7" t="inlineStr">
        <is>
          <t>chanted verse: repeated 5s with chromatic lower-neighbor dips</t>
        </is>
      </c>
    </row>
    <row r="3">
      <c r="A3" s="4" t="inlineStr">
        <is>
          <t>verse</t>
        </is>
      </c>
      <c r="B3" s="4" t="inlineStr">
        <is>
          <t>V1a</t>
        </is>
      </c>
      <c r="C3" s="4" t="inlineStr">
        <is>
          <t>lead</t>
        </is>
      </c>
      <c r="D3" s="4" t="n">
        <v>1</v>
      </c>
      <c r="E3" s="4" t="n">
        <v>1.5</v>
      </c>
      <c r="F3" s="4" t="inlineStr">
        <is>
          <t>I</t>
        </is>
      </c>
      <c r="G3" s="4" t="inlineStr">
        <is>
          <t>A</t>
        </is>
      </c>
      <c r="H3" s="4" t="inlineStr">
        <is>
          <t>T</t>
        </is>
      </c>
      <c r="I3" s="4" t="inlineStr">
        <is>
          <t>#4</t>
        </is>
      </c>
      <c r="J3" s="4" t="inlineStr">
        <is>
          <t>D#4</t>
        </is>
      </c>
      <c r="K3" s="4" t="n">
        <v>6</v>
      </c>
      <c r="L3" s="4">
        <f>IF(OR(C3&lt;&gt;C2,K3="",K2=""),"",K3-K2)</f>
        <v/>
      </c>
      <c r="M3" s="4">
        <f>IF(L3="","",IF(L3=0,"repeat",IF(ABS(L3)&lt;=2,"step","leap")))</f>
        <v/>
      </c>
      <c r="N3" s="4">
        <f>IF(F3&lt;&gt;F2,"Y","")</f>
        <v/>
      </c>
      <c r="O3" s="5" t="inlineStr">
        <is>
          <t>N</t>
        </is>
      </c>
      <c r="P3" s="5" t="inlineStr">
        <is>
          <t>u</t>
        </is>
      </c>
      <c r="Q3" s="5" t="inlineStr">
        <is>
          <t>open</t>
        </is>
      </c>
      <c r="R3" s="6" t="n"/>
      <c r="S3" s="4" t="n"/>
      <c r="T3" s="4" t="n"/>
      <c r="U3" s="7" t="inlineStr">
        <is>
          <t>engraved sharp: chromatic neighbor #4 under the chant</t>
        </is>
      </c>
    </row>
    <row r="4">
      <c r="A4" s="4" t="inlineStr">
        <is>
          <t>verse</t>
        </is>
      </c>
      <c r="B4" s="4" t="inlineStr">
        <is>
          <t>V1a</t>
        </is>
      </c>
      <c r="C4" s="4" t="inlineStr">
        <is>
          <t>lead</t>
        </is>
      </c>
      <c r="D4" s="4" t="n">
        <v>1</v>
      </c>
      <c r="E4" s="4" t="n">
        <v>2.5</v>
      </c>
      <c r="F4" s="4" t="inlineStr">
        <is>
          <t>I</t>
        </is>
      </c>
      <c r="G4" s="4" t="inlineStr">
        <is>
          <t>A</t>
        </is>
      </c>
      <c r="H4" s="4" t="inlineStr">
        <is>
          <t>T</t>
        </is>
      </c>
      <c r="I4" s="4" t="inlineStr">
        <is>
          <t>5</t>
        </is>
      </c>
      <c r="J4" s="4" t="inlineStr">
        <is>
          <t>E4</t>
        </is>
      </c>
      <c r="K4" s="4" t="n">
        <v>7</v>
      </c>
      <c r="L4" s="4">
        <f>IF(OR(C4&lt;&gt;C3,K4="",K3=""),"",K4-K3)</f>
        <v/>
      </c>
      <c r="M4" s="4">
        <f>IF(L4="","",IF(L4=0,"repeat",IF(ABS(L4)&lt;=2,"step","leap")))</f>
        <v/>
      </c>
      <c r="N4" s="4">
        <f>IF(F4&lt;&gt;F3,"Y","")</f>
        <v/>
      </c>
      <c r="O4" s="5" t="inlineStr">
        <is>
          <t>Y</t>
        </is>
      </c>
      <c r="P4" s="5" t="inlineStr">
        <is>
          <t>S</t>
        </is>
      </c>
      <c r="Q4" s="5" t="inlineStr">
        <is>
          <t>closed</t>
        </is>
      </c>
      <c r="R4" s="6" t="n"/>
      <c r="S4" s="4" t="n"/>
      <c r="T4" s="4" t="n"/>
      <c r="U4" s="7" t="inlineStr"/>
    </row>
    <row r="5">
      <c r="A5" s="4" t="inlineStr">
        <is>
          <t>verse</t>
        </is>
      </c>
      <c r="B5" s="4" t="inlineStr">
        <is>
          <t>V1a</t>
        </is>
      </c>
      <c r="C5" s="4" t="inlineStr">
        <is>
          <t>lead</t>
        </is>
      </c>
      <c r="D5" s="4" t="n">
        <v>1</v>
      </c>
      <c r="E5" s="4" t="n">
        <v>3</v>
      </c>
      <c r="F5" s="4" t="inlineStr">
        <is>
          <t>I</t>
        </is>
      </c>
      <c r="G5" s="4" t="inlineStr">
        <is>
          <t>A</t>
        </is>
      </c>
      <c r="H5" s="4" t="inlineStr">
        <is>
          <t>T</t>
        </is>
      </c>
      <c r="I5" s="4" t="inlineStr">
        <is>
          <t>#4</t>
        </is>
      </c>
      <c r="J5" s="4" t="inlineStr">
        <is>
          <t>D#4</t>
        </is>
      </c>
      <c r="K5" s="4" t="n">
        <v>6</v>
      </c>
      <c r="L5" s="4">
        <f>IF(OR(C5&lt;&gt;C4,K5="",K4=""),"",K5-K4)</f>
        <v/>
      </c>
      <c r="M5" s="4">
        <f>IF(L5="","",IF(L5=0,"repeat",IF(ABS(L5)&lt;=2,"step","leap")))</f>
        <v/>
      </c>
      <c r="N5" s="4">
        <f>IF(F5&lt;&gt;F4,"Y","")</f>
        <v/>
      </c>
      <c r="O5" s="5" t="inlineStr">
        <is>
          <t>N</t>
        </is>
      </c>
      <c r="P5" s="5" t="inlineStr">
        <is>
          <t>u</t>
        </is>
      </c>
      <c r="Q5" s="5" t="inlineStr">
        <is>
          <t>open</t>
        </is>
      </c>
      <c r="R5" s="6" t="n"/>
      <c r="S5" s="4" t="n"/>
      <c r="T5" s="4" t="n"/>
      <c r="U5" s="7" t="inlineStr">
        <is>
          <t>sharp persists in bar (approx - could be 5)</t>
        </is>
      </c>
    </row>
    <row r="6">
      <c r="A6" s="4" t="inlineStr">
        <is>
          <t>verse</t>
        </is>
      </c>
      <c r="B6" s="4" t="inlineStr">
        <is>
          <t>V1b</t>
        </is>
      </c>
      <c r="C6" s="4" t="inlineStr">
        <is>
          <t>lead</t>
        </is>
      </c>
      <c r="D6" s="4" t="n">
        <v>2</v>
      </c>
      <c r="E6" s="4" t="n">
        <v>1</v>
      </c>
      <c r="F6" s="4" t="inlineStr">
        <is>
          <t>I/b7</t>
        </is>
      </c>
      <c r="G6" s="4" t="inlineStr">
        <is>
          <t>A/G</t>
        </is>
      </c>
      <c r="H6" s="4" t="inlineStr">
        <is>
          <t>T</t>
        </is>
      </c>
      <c r="I6" s="4" t="inlineStr">
        <is>
          <t>5</t>
        </is>
      </c>
      <c r="J6" s="4" t="inlineStr">
        <is>
          <t>E4</t>
        </is>
      </c>
      <c r="K6" s="4" t="n">
        <v>7</v>
      </c>
      <c r="L6" s="4">
        <f>IF(OR(C6&lt;&gt;C5,K6="",K5=""),"",K6-K5)</f>
        <v/>
      </c>
      <c r="M6" s="4">
        <f>IF(L6="","",IF(L6=0,"repeat",IF(ABS(L6)&lt;=2,"step","leap")))</f>
        <v/>
      </c>
      <c r="N6" s="4">
        <f>IF(F6&lt;&gt;F5,"Y","")</f>
        <v/>
      </c>
      <c r="O6" s="5" t="inlineStr">
        <is>
          <t>Y</t>
        </is>
      </c>
      <c r="P6" s="5" t="inlineStr">
        <is>
          <t>S</t>
        </is>
      </c>
      <c r="Q6" s="5" t="inlineStr">
        <is>
          <t>closed</t>
        </is>
      </c>
      <c r="R6" s="6" t="n"/>
      <c r="S6" s="4" t="n"/>
      <c r="T6" s="4" t="n"/>
      <c r="U6" s="7" t="inlineStr">
        <is>
          <t>bass slips to b7 under an unmoved chant</t>
        </is>
      </c>
    </row>
    <row r="7">
      <c r="A7" s="4" t="inlineStr">
        <is>
          <t>verse</t>
        </is>
      </c>
      <c r="B7" s="4" t="inlineStr">
        <is>
          <t>V1b</t>
        </is>
      </c>
      <c r="C7" s="4" t="inlineStr">
        <is>
          <t>lead</t>
        </is>
      </c>
      <c r="D7" s="4" t="n">
        <v>2</v>
      </c>
      <c r="E7" s="4" t="n">
        <v>1.5</v>
      </c>
      <c r="F7" s="4" t="inlineStr">
        <is>
          <t>I/b7</t>
        </is>
      </c>
      <c r="G7" s="4" t="inlineStr">
        <is>
          <t>A/G</t>
        </is>
      </c>
      <c r="H7" s="4" t="inlineStr">
        <is>
          <t>T</t>
        </is>
      </c>
      <c r="I7" s="4" t="inlineStr">
        <is>
          <t>4</t>
        </is>
      </c>
      <c r="J7" s="4" t="inlineStr">
        <is>
          <t>D4</t>
        </is>
      </c>
      <c r="K7" s="4" t="n">
        <v>5</v>
      </c>
      <c r="L7" s="4">
        <f>IF(OR(C7&lt;&gt;C6,K7="",K6=""),"",K7-K6)</f>
        <v/>
      </c>
      <c r="M7" s="4">
        <f>IF(L7="","",IF(L7=0,"repeat",IF(ABS(L7)&lt;=2,"step","leap")))</f>
        <v/>
      </c>
      <c r="N7" s="4">
        <f>IF(F7&lt;&gt;F6,"Y","")</f>
        <v/>
      </c>
      <c r="O7" s="5" t="inlineStr">
        <is>
          <t>N</t>
        </is>
      </c>
      <c r="P7" s="5" t="inlineStr">
        <is>
          <t>u</t>
        </is>
      </c>
      <c r="Q7" s="5" t="inlineStr">
        <is>
          <t>open</t>
        </is>
      </c>
      <c r="R7" s="6" t="n"/>
      <c r="S7" s="4" t="n"/>
      <c r="T7" s="4" t="n"/>
      <c r="U7" s="7" t="inlineStr">
        <is>
          <t>dotted quarter; plain 4 this time (natural-minor shade)</t>
        </is>
      </c>
    </row>
    <row r="8">
      <c r="A8" s="4" t="inlineStr">
        <is>
          <t>verse</t>
        </is>
      </c>
      <c r="B8" s="4" t="inlineStr">
        <is>
          <t>V1b</t>
        </is>
      </c>
      <c r="C8" s="4" t="inlineStr">
        <is>
          <t>lead</t>
        </is>
      </c>
      <c r="D8" s="4" t="n">
        <v>2</v>
      </c>
      <c r="E8" s="4" t="n">
        <v>3</v>
      </c>
      <c r="F8" s="4" t="inlineStr">
        <is>
          <t>I/b7</t>
        </is>
      </c>
      <c r="G8" s="4" t="inlineStr">
        <is>
          <t>A/G</t>
        </is>
      </c>
      <c r="H8" s="4" t="inlineStr">
        <is>
          <t>T</t>
        </is>
      </c>
      <c r="I8" s="4" t="inlineStr">
        <is>
          <t>5</t>
        </is>
      </c>
      <c r="J8" s="4" t="inlineStr">
        <is>
          <t>E4</t>
        </is>
      </c>
      <c r="K8" s="4" t="n">
        <v>7</v>
      </c>
      <c r="L8" s="4">
        <f>IF(OR(C8&lt;&gt;C7,K8="",K7=""),"",K8-K7)</f>
        <v/>
      </c>
      <c r="M8" s="4">
        <f>IF(L8="","",IF(L8=0,"repeat",IF(ABS(L8)&lt;=2,"step","leap")))</f>
        <v/>
      </c>
      <c r="N8" s="4">
        <f>IF(F8&lt;&gt;F7,"Y","")</f>
        <v/>
      </c>
      <c r="O8" s="5" t="inlineStr">
        <is>
          <t>Y</t>
        </is>
      </c>
      <c r="P8" s="5" t="inlineStr">
        <is>
          <t>S</t>
        </is>
      </c>
      <c r="Q8" s="5" t="inlineStr">
        <is>
          <t>closed</t>
        </is>
      </c>
      <c r="R8" s="6" t="n"/>
      <c r="S8" s="4" t="n"/>
      <c r="T8" s="4" t="n"/>
      <c r="U8" s="7" t="inlineStr"/>
    </row>
    <row r="9">
      <c r="A9" s="4" t="inlineStr">
        <is>
          <t>verse</t>
        </is>
      </c>
      <c r="B9" s="4" t="inlineStr">
        <is>
          <t>V1b</t>
        </is>
      </c>
      <c r="C9" s="4" t="inlineStr">
        <is>
          <t>lead</t>
        </is>
      </c>
      <c r="D9" s="4" t="n">
        <v>2</v>
      </c>
      <c r="E9" s="4" t="n">
        <v>3.5</v>
      </c>
      <c r="F9" s="4" t="inlineStr">
        <is>
          <t>I/b7</t>
        </is>
      </c>
      <c r="G9" s="4" t="inlineStr">
        <is>
          <t>A/G</t>
        </is>
      </c>
      <c r="H9" s="4" t="inlineStr">
        <is>
          <t>T</t>
        </is>
      </c>
      <c r="I9" s="4" t="inlineStr">
        <is>
          <t>4</t>
        </is>
      </c>
      <c r="J9" s="4" t="inlineStr">
        <is>
          <t>D4</t>
        </is>
      </c>
      <c r="K9" s="4" t="n">
        <v>5</v>
      </c>
      <c r="L9" s="4">
        <f>IF(OR(C9&lt;&gt;C8,K9="",K8=""),"",K9-K8)</f>
        <v/>
      </c>
      <c r="M9" s="4">
        <f>IF(L9="","",IF(L9=0,"repeat",IF(ABS(L9)&lt;=2,"step","leap")))</f>
        <v/>
      </c>
      <c r="N9" s="4">
        <f>IF(F9&lt;&gt;F8,"Y","")</f>
        <v/>
      </c>
      <c r="O9" s="5" t="inlineStr">
        <is>
          <t>N</t>
        </is>
      </c>
      <c r="P9" s="5" t="inlineStr">
        <is>
          <t>u</t>
        </is>
      </c>
      <c r="Q9" s="5" t="inlineStr">
        <is>
          <t>open</t>
        </is>
      </c>
      <c r="R9" s="6" t="n"/>
      <c r="S9" s="4" t="n"/>
      <c r="T9" s="4" t="n"/>
      <c r="U9" s="7" t="inlineStr"/>
    </row>
    <row r="10">
      <c r="A10" s="4" t="inlineStr">
        <is>
          <t>verse</t>
        </is>
      </c>
      <c r="B10" s="4" t="inlineStr">
        <is>
          <t>V1c</t>
        </is>
      </c>
      <c r="C10" s="4" t="inlineStr">
        <is>
          <t>lead</t>
        </is>
      </c>
      <c r="D10" s="4" t="n">
        <v>3</v>
      </c>
      <c r="E10" s="4" t="n">
        <v>1</v>
      </c>
      <c r="F10" s="4" t="inlineStr">
        <is>
          <t>bIII</t>
        </is>
      </c>
      <c r="G10" s="4" t="inlineStr">
        <is>
          <t>C</t>
        </is>
      </c>
      <c r="H10" s="4" t="inlineStr">
        <is>
          <t>T</t>
        </is>
      </c>
      <c r="I10" s="4" t="inlineStr">
        <is>
          <t>5</t>
        </is>
      </c>
      <c r="J10" s="4" t="inlineStr">
        <is>
          <t>E4</t>
        </is>
      </c>
      <c r="K10" s="4" t="n">
        <v>7</v>
      </c>
      <c r="L10" s="4">
        <f>IF(OR(C10&lt;&gt;C9,K10="",K9=""),"",K10-K9)</f>
        <v/>
      </c>
      <c r="M10" s="4">
        <f>IF(L10="","",IF(L10=0,"repeat",IF(ABS(L10)&lt;=2,"step","leap")))</f>
        <v/>
      </c>
      <c r="N10" s="4">
        <f>IF(F10&lt;&gt;F9,"Y","")</f>
        <v/>
      </c>
      <c r="O10" s="5" t="inlineStr">
        <is>
          <t>Y</t>
        </is>
      </c>
      <c r="P10" s="5" t="inlineStr">
        <is>
          <t>S</t>
        </is>
      </c>
      <c r="Q10" s="5" t="inlineStr">
        <is>
          <t>closed</t>
        </is>
      </c>
      <c r="R10" s="6" t="n"/>
      <c r="S10" s="4" t="n"/>
      <c r="T10" s="4" t="n"/>
      <c r="U10" s="7" t="inlineStr">
        <is>
          <t>bIII arrives; melody keeps chanting 5 (=3rd of C)</t>
        </is>
      </c>
    </row>
    <row r="11">
      <c r="A11" s="4" t="inlineStr">
        <is>
          <t>verse</t>
        </is>
      </c>
      <c r="B11" s="4" t="inlineStr">
        <is>
          <t>V1c</t>
        </is>
      </c>
      <c r="C11" s="4" t="inlineStr">
        <is>
          <t>lead</t>
        </is>
      </c>
      <c r="D11" s="4" t="n">
        <v>3</v>
      </c>
      <c r="E11" s="4" t="n">
        <v>1.5</v>
      </c>
      <c r="F11" s="4" t="inlineStr">
        <is>
          <t>bIII</t>
        </is>
      </c>
      <c r="G11" s="4" t="inlineStr">
        <is>
          <t>C</t>
        </is>
      </c>
      <c r="H11" s="4" t="inlineStr">
        <is>
          <t>T</t>
        </is>
      </c>
      <c r="I11" s="4" t="inlineStr">
        <is>
          <t>#4</t>
        </is>
      </c>
      <c r="J11" s="4" t="inlineStr">
        <is>
          <t>D#4</t>
        </is>
      </c>
      <c r="K11" s="4" t="n">
        <v>6</v>
      </c>
      <c r="L11" s="4">
        <f>IF(OR(C11&lt;&gt;C10,K11="",K10=""),"",K11-K10)</f>
        <v/>
      </c>
      <c r="M11" s="4">
        <f>IF(L11="","",IF(L11=0,"repeat",IF(ABS(L11)&lt;=2,"step","leap")))</f>
        <v/>
      </c>
      <c r="N11" s="4">
        <f>IF(F11&lt;&gt;F10,"Y","")</f>
        <v/>
      </c>
      <c r="O11" s="5" t="inlineStr">
        <is>
          <t>N</t>
        </is>
      </c>
      <c r="P11" s="5" t="inlineStr">
        <is>
          <t>u</t>
        </is>
      </c>
      <c r="Q11" s="5" t="inlineStr">
        <is>
          <t>open</t>
        </is>
      </c>
      <c r="R11" s="6" t="n"/>
      <c r="S11" s="4" t="n"/>
      <c r="T11" s="4" t="n"/>
      <c r="U11" s="7" t="inlineStr">
        <is>
          <t>engraved sharp against the C chord - the song's signature semitone rub</t>
        </is>
      </c>
    </row>
    <row r="12">
      <c r="A12" s="4" t="inlineStr">
        <is>
          <t>verse</t>
        </is>
      </c>
      <c r="B12" s="4" t="inlineStr">
        <is>
          <t>V1c</t>
        </is>
      </c>
      <c r="C12" s="4" t="inlineStr">
        <is>
          <t>lead</t>
        </is>
      </c>
      <c r="D12" s="4" t="n">
        <v>3</v>
      </c>
      <c r="E12" s="4" t="n">
        <v>3</v>
      </c>
      <c r="F12" s="4" t="inlineStr">
        <is>
          <t>bIII</t>
        </is>
      </c>
      <c r="G12" s="4" t="inlineStr">
        <is>
          <t>C</t>
        </is>
      </c>
      <c r="H12" s="4" t="inlineStr">
        <is>
          <t>T</t>
        </is>
      </c>
      <c r="I12" s="4" t="inlineStr">
        <is>
          <t>5</t>
        </is>
      </c>
      <c r="J12" s="4" t="inlineStr">
        <is>
          <t>E4</t>
        </is>
      </c>
      <c r="K12" s="4" t="n">
        <v>7</v>
      </c>
      <c r="L12" s="4">
        <f>IF(OR(C12&lt;&gt;C11,K12="",K11=""),"",K12-K11)</f>
        <v/>
      </c>
      <c r="M12" s="4">
        <f>IF(L12="","",IF(L12=0,"repeat",IF(ABS(L12)&lt;=2,"step","leap")))</f>
        <v/>
      </c>
      <c r="N12" s="4">
        <f>IF(F12&lt;&gt;F11,"Y","")</f>
        <v/>
      </c>
      <c r="O12" s="5" t="inlineStr">
        <is>
          <t>Y</t>
        </is>
      </c>
      <c r="P12" s="5" t="inlineStr">
        <is>
          <t>S</t>
        </is>
      </c>
      <c r="Q12" s="5" t="inlineStr">
        <is>
          <t>closed</t>
        </is>
      </c>
      <c r="R12" s="6" t="n"/>
      <c r="S12" s="4" t="n"/>
      <c r="T12" s="4" t="n"/>
      <c r="U12" s="7" t="inlineStr"/>
    </row>
    <row r="13">
      <c r="A13" s="4" t="inlineStr">
        <is>
          <t>verse</t>
        </is>
      </c>
      <c r="B13" s="4" t="inlineStr">
        <is>
          <t>V1c</t>
        </is>
      </c>
      <c r="C13" s="4" t="inlineStr">
        <is>
          <t>lead</t>
        </is>
      </c>
      <c r="D13" s="4" t="n">
        <v>3</v>
      </c>
      <c r="E13" s="4" t="n">
        <v>3.5</v>
      </c>
      <c r="F13" s="4" t="inlineStr">
        <is>
          <t>bIII</t>
        </is>
      </c>
      <c r="G13" s="4" t="inlineStr">
        <is>
          <t>C</t>
        </is>
      </c>
      <c r="H13" s="4" t="inlineStr">
        <is>
          <t>T</t>
        </is>
      </c>
      <c r="I13" s="4" t="inlineStr">
        <is>
          <t>5</t>
        </is>
      </c>
      <c r="J13" s="4" t="inlineStr">
        <is>
          <t>E4</t>
        </is>
      </c>
      <c r="K13" s="4" t="n">
        <v>7</v>
      </c>
      <c r="L13" s="4">
        <f>IF(OR(C13&lt;&gt;C12,K13="",K12=""),"",K13-K12)</f>
        <v/>
      </c>
      <c r="M13" s="4">
        <f>IF(L13="","",IF(L13=0,"repeat",IF(ABS(L13)&lt;=2,"step","leap")))</f>
        <v/>
      </c>
      <c r="N13" s="4">
        <f>IF(F13&lt;&gt;F12,"Y","")</f>
        <v/>
      </c>
      <c r="O13" s="5" t="inlineStr">
        <is>
          <t>N</t>
        </is>
      </c>
      <c r="P13" s="5" t="inlineStr">
        <is>
          <t>u</t>
        </is>
      </c>
      <c r="Q13" s="5" t="inlineStr">
        <is>
          <t>open</t>
        </is>
      </c>
      <c r="R13" s="6" t="n"/>
      <c r="S13" s="4" t="n"/>
      <c r="T13" s="4" t="n"/>
      <c r="U13" s="7" t="inlineStr"/>
    </row>
    <row r="14">
      <c r="A14" s="4" t="inlineStr">
        <is>
          <t>verse</t>
        </is>
      </c>
      <c r="B14" s="4" t="inlineStr">
        <is>
          <t>V1d</t>
        </is>
      </c>
      <c r="C14" s="4" t="inlineStr">
        <is>
          <t>lead</t>
        </is>
      </c>
      <c r="D14" s="4" t="n">
        <v>4</v>
      </c>
      <c r="E14" s="4" t="n">
        <v>1</v>
      </c>
      <c r="F14" s="4" t="inlineStr">
        <is>
          <t>IV</t>
        </is>
      </c>
      <c r="G14" s="4" t="inlineStr">
        <is>
          <t>D</t>
        </is>
      </c>
      <c r="H14" s="4" t="inlineStr">
        <is>
          <t>T</t>
        </is>
      </c>
      <c r="I14" s="4" t="inlineStr">
        <is>
          <t>5</t>
        </is>
      </c>
      <c r="J14" s="4" t="inlineStr">
        <is>
          <t>E4</t>
        </is>
      </c>
      <c r="K14" s="4" t="n">
        <v>7</v>
      </c>
      <c r="L14" s="4">
        <f>IF(OR(C14&lt;&gt;C13,K14="",K13=""),"",K14-K13)</f>
        <v/>
      </c>
      <c r="M14" s="4">
        <f>IF(L14="","",IF(L14=0,"repeat",IF(ABS(L14)&lt;=2,"step","leap")))</f>
        <v/>
      </c>
      <c r="N14" s="4">
        <f>IF(F14&lt;&gt;F13,"Y","")</f>
        <v/>
      </c>
      <c r="O14" s="5" t="inlineStr">
        <is>
          <t>N</t>
        </is>
      </c>
      <c r="P14" s="5" t="inlineStr">
        <is>
          <t>S</t>
        </is>
      </c>
      <c r="Q14" s="5" t="inlineStr">
        <is>
          <t>closed</t>
        </is>
      </c>
      <c r="R14" s="6" t="n"/>
      <c r="S14" s="4" t="n"/>
      <c r="T14" s="4" t="n"/>
      <c r="U14" s="7" t="inlineStr">
        <is>
          <t>over IV the chant note becomes the 9th - never a root</t>
        </is>
      </c>
    </row>
    <row r="15">
      <c r="A15" s="4" t="inlineStr">
        <is>
          <t>verse</t>
        </is>
      </c>
      <c r="B15" s="4" t="inlineStr">
        <is>
          <t>V1d</t>
        </is>
      </c>
      <c r="C15" s="4" t="inlineStr">
        <is>
          <t>lead</t>
        </is>
      </c>
      <c r="D15" s="4" t="n">
        <v>4</v>
      </c>
      <c r="E15" s="4" t="n">
        <v>1.5</v>
      </c>
      <c r="F15" s="4" t="inlineStr">
        <is>
          <t>IV</t>
        </is>
      </c>
      <c r="G15" s="4" t="inlineStr">
        <is>
          <t>D</t>
        </is>
      </c>
      <c r="H15" s="4" t="inlineStr">
        <is>
          <t>T</t>
        </is>
      </c>
      <c r="I15" s="4" t="inlineStr">
        <is>
          <t>4</t>
        </is>
      </c>
      <c r="J15" s="4" t="inlineStr">
        <is>
          <t>D4</t>
        </is>
      </c>
      <c r="K15" s="4" t="n">
        <v>5</v>
      </c>
      <c r="L15" s="4">
        <f>IF(OR(C15&lt;&gt;C14,K15="",K14=""),"",K15-K14)</f>
        <v/>
      </c>
      <c r="M15" s="4">
        <f>IF(L15="","",IF(L15=0,"repeat",IF(ABS(L15)&lt;=2,"step","leap")))</f>
        <v/>
      </c>
      <c r="N15" s="4">
        <f>IF(F15&lt;&gt;F14,"Y","")</f>
        <v/>
      </c>
      <c r="O15" s="5" t="inlineStr">
        <is>
          <t>Y</t>
        </is>
      </c>
      <c r="P15" s="5" t="inlineStr">
        <is>
          <t>u</t>
        </is>
      </c>
      <c r="Q15" s="5" t="inlineStr">
        <is>
          <t>open</t>
        </is>
      </c>
      <c r="R15" s="6" t="n"/>
      <c r="S15" s="4" t="n"/>
      <c r="T15" s="4" t="n"/>
      <c r="U15" s="7" t="inlineStr">
        <is>
          <t>dotted quarter on the chord root</t>
        </is>
      </c>
    </row>
    <row r="16">
      <c r="A16" s="4" t="inlineStr">
        <is>
          <t>verse</t>
        </is>
      </c>
      <c r="B16" s="4" t="inlineStr">
        <is>
          <t>V1e</t>
        </is>
      </c>
      <c r="C16" s="4" t="inlineStr">
        <is>
          <t>lead</t>
        </is>
      </c>
      <c r="D16" s="4" t="n">
        <v>5</v>
      </c>
      <c r="E16" s="4" t="n">
        <v>1</v>
      </c>
      <c r="F16" s="4" t="inlineStr">
        <is>
          <t>IV/5</t>
        </is>
      </c>
      <c r="G16" s="4" t="inlineStr">
        <is>
          <t>D/E</t>
        </is>
      </c>
      <c r="H16" s="4" t="inlineStr">
        <is>
          <t>D</t>
        </is>
      </c>
      <c r="I16" s="4" t="inlineStr">
        <is>
          <t>5</t>
        </is>
      </c>
      <c r="J16" s="4" t="inlineStr">
        <is>
          <t>E4</t>
        </is>
      </c>
      <c r="K16" s="4" t="n">
        <v>7</v>
      </c>
      <c r="L16" s="4">
        <f>IF(OR(C16&lt;&gt;C15,K16="",K15=""),"",K16-K15)</f>
        <v/>
      </c>
      <c r="M16" s="4">
        <f>IF(L16="","",IF(L16=0,"repeat",IF(ABS(L16)&lt;=2,"step","leap")))</f>
        <v/>
      </c>
      <c r="N16" s="4">
        <f>IF(F16&lt;&gt;F15,"Y","")</f>
        <v/>
      </c>
      <c r="O16" s="5" t="inlineStr">
        <is>
          <t>N</t>
        </is>
      </c>
      <c r="P16" s="5" t="inlineStr">
        <is>
          <t>S</t>
        </is>
      </c>
      <c r="Q16" s="5" t="inlineStr">
        <is>
          <t>open</t>
        </is>
      </c>
      <c r="R16" s="6" t="n"/>
      <c r="S16" s="4" t="n"/>
      <c r="T16" s="4" t="n"/>
      <c r="U16" s="7" t="inlineStr">
        <is>
          <t>V-pedal bar closing the verse (score D/E; corpus has no such chord - trusted score)</t>
        </is>
      </c>
    </row>
    <row r="17">
      <c r="A17" s="4" t="inlineStr">
        <is>
          <t>verse</t>
        </is>
      </c>
      <c r="B17" s="4" t="inlineStr">
        <is>
          <t>V1e</t>
        </is>
      </c>
      <c r="C17" s="4" t="inlineStr">
        <is>
          <t>lead</t>
        </is>
      </c>
      <c r="D17" s="4" t="n">
        <v>5</v>
      </c>
      <c r="E17" s="4" t="n">
        <v>2</v>
      </c>
      <c r="F17" s="4" t="inlineStr">
        <is>
          <t>IV/5</t>
        </is>
      </c>
      <c r="G17" s="4" t="inlineStr">
        <is>
          <t>D/E</t>
        </is>
      </c>
      <c r="H17" s="4" t="inlineStr">
        <is>
          <t>D</t>
        </is>
      </c>
      <c r="I17" s="4" t="inlineStr">
        <is>
          <t>5</t>
        </is>
      </c>
      <c r="J17" s="4" t="inlineStr">
        <is>
          <t>E4</t>
        </is>
      </c>
      <c r="K17" s="4" t="n">
        <v>7</v>
      </c>
      <c r="L17" s="4">
        <f>IF(OR(C17&lt;&gt;C16,K17="",K16=""),"",K17-K16)</f>
        <v/>
      </c>
      <c r="M17" s="4">
        <f>IF(L17="","",IF(L17=0,"repeat",IF(ABS(L17)&lt;=2,"step","leap")))</f>
        <v/>
      </c>
      <c r="N17" s="4">
        <f>IF(F17&lt;&gt;F16,"Y","")</f>
        <v/>
      </c>
      <c r="O17" s="5" t="inlineStr">
        <is>
          <t>N</t>
        </is>
      </c>
      <c r="P17" s="5" t="inlineStr">
        <is>
          <t>u</t>
        </is>
      </c>
      <c r="Q17" s="5" t="inlineStr">
        <is>
          <t>closed</t>
        </is>
      </c>
      <c r="R17" s="6" t="n"/>
      <c r="S17" s="4" t="n"/>
      <c r="T17" s="4" t="n"/>
      <c r="U17" s="7" t="inlineStr"/>
    </row>
    <row r="18">
      <c r="A18" s="4" t="inlineStr">
        <is>
          <t>verse</t>
        </is>
      </c>
      <c r="B18" s="4" t="inlineStr">
        <is>
          <t>V1e</t>
        </is>
      </c>
      <c r="C18" s="4" t="inlineStr">
        <is>
          <t>lead</t>
        </is>
      </c>
      <c r="D18" s="4" t="n">
        <v>5</v>
      </c>
      <c r="E18" s="4" t="n">
        <v>2.25</v>
      </c>
      <c r="F18" s="4" t="inlineStr">
        <is>
          <t>IV/5</t>
        </is>
      </c>
      <c r="G18" s="4" t="inlineStr">
        <is>
          <t>D/E</t>
        </is>
      </c>
      <c r="H18" s="4" t="inlineStr">
        <is>
          <t>D</t>
        </is>
      </c>
      <c r="I18" s="4" t="inlineStr">
        <is>
          <t>5</t>
        </is>
      </c>
      <c r="J18" s="4" t="inlineStr">
        <is>
          <t>E4</t>
        </is>
      </c>
      <c r="K18" s="4" t="n">
        <v>7</v>
      </c>
      <c r="L18" s="4">
        <f>IF(OR(C18&lt;&gt;C17,K18="",K17=""),"",K18-K17)</f>
        <v/>
      </c>
      <c r="M18" s="4">
        <f>IF(L18="","",IF(L18=0,"repeat",IF(ABS(L18)&lt;=2,"step","leap")))</f>
        <v/>
      </c>
      <c r="N18" s="4">
        <f>IF(F18&lt;&gt;F17,"Y","")</f>
        <v/>
      </c>
      <c r="O18" s="5" t="inlineStr">
        <is>
          <t>N</t>
        </is>
      </c>
      <c r="P18" s="5" t="inlineStr">
        <is>
          <t>S</t>
        </is>
      </c>
      <c r="Q18" s="5" t="inlineStr">
        <is>
          <t>open</t>
        </is>
      </c>
      <c r="R18" s="6" t="n"/>
      <c r="S18" s="4" t="n"/>
      <c r="T18" s="4" t="n"/>
      <c r="U18" s="7" t="inlineStr">
        <is>
          <t>16th pair rising into the tie; tied across the barline</t>
        </is>
      </c>
    </row>
    <row r="19">
      <c r="A19" s="4" t="inlineStr">
        <is>
          <t>verse</t>
        </is>
      </c>
      <c r="B19" s="4" t="inlineStr">
        <is>
          <t>V1f</t>
        </is>
      </c>
      <c r="C19" s="4" t="inlineStr">
        <is>
          <t>lead</t>
        </is>
      </c>
      <c r="D19" s="4" t="n">
        <v>6</v>
      </c>
      <c r="E19" s="4" t="n">
        <v>1.5</v>
      </c>
      <c r="F19" s="4" t="inlineStr">
        <is>
          <t>I</t>
        </is>
      </c>
      <c r="G19" s="4" t="inlineStr">
        <is>
          <t>A</t>
        </is>
      </c>
      <c r="H19" s="4" t="inlineStr">
        <is>
          <t>T</t>
        </is>
      </c>
      <c r="I19" s="4" t="inlineStr">
        <is>
          <t>4</t>
        </is>
      </c>
      <c r="J19" s="4" t="inlineStr">
        <is>
          <t>D4</t>
        </is>
      </c>
      <c r="K19" s="4" t="n">
        <v>5</v>
      </c>
      <c r="L19" s="4">
        <f>IF(OR(C19&lt;&gt;C18,K19="",K18=""),"",K19-K18)</f>
        <v/>
      </c>
      <c r="M19" s="4">
        <f>IF(L19="","",IF(L19=0,"repeat",IF(ABS(L19)&lt;=2,"step","leap")))</f>
        <v/>
      </c>
      <c r="N19" s="4">
        <f>IF(F19&lt;&gt;F18,"Y","")</f>
        <v/>
      </c>
      <c r="O19" s="5" t="inlineStr">
        <is>
          <t>N</t>
        </is>
      </c>
      <c r="P19" s="5" t="inlineStr">
        <is>
          <t>u</t>
        </is>
      </c>
      <c r="Q19" s="5" t="inlineStr">
        <is>
          <t>open</t>
        </is>
      </c>
      <c r="R19" s="6" t="n"/>
      <c r="S19" s="4" t="n"/>
      <c r="T19" s="4" t="n"/>
      <c r="U19" s="7" t="inlineStr">
        <is>
          <t>3-note falling melisma on the held syllable (approx; score shows an ambiguous accidental, possibly b3)</t>
        </is>
      </c>
    </row>
    <row r="20">
      <c r="A20" s="4" t="inlineStr">
        <is>
          <t>verse</t>
        </is>
      </c>
      <c r="B20" s="4" t="inlineStr">
        <is>
          <t>V1f</t>
        </is>
      </c>
      <c r="C20" s="4" t="inlineStr">
        <is>
          <t>lead</t>
        </is>
      </c>
      <c r="D20" s="4" t="n">
        <v>6</v>
      </c>
      <c r="E20" s="4" t="n">
        <v>2</v>
      </c>
      <c r="F20" s="4" t="inlineStr">
        <is>
          <t>I</t>
        </is>
      </c>
      <c r="G20" s="4" t="inlineStr">
        <is>
          <t>A</t>
        </is>
      </c>
      <c r="H20" s="4" t="inlineStr">
        <is>
          <t>T</t>
        </is>
      </c>
      <c r="I20" s="4" t="inlineStr">
        <is>
          <t>3</t>
        </is>
      </c>
      <c r="J20" s="4" t="inlineStr">
        <is>
          <t>C#4</t>
        </is>
      </c>
      <c r="K20" s="4" t="n">
        <v>4</v>
      </c>
      <c r="L20" s="4">
        <f>IF(OR(C20&lt;&gt;C19,K20="",K19=""),"",K20-K19)</f>
        <v/>
      </c>
      <c r="M20" s="4">
        <f>IF(L20="","",IF(L20=0,"repeat",IF(ABS(L20)&lt;=2,"step","leap")))</f>
        <v/>
      </c>
      <c r="N20" s="4">
        <f>IF(F20&lt;&gt;F19,"Y","")</f>
        <v/>
      </c>
      <c r="O20" s="5" t="inlineStr">
        <is>
          <t>Y</t>
        </is>
      </c>
      <c r="P20" s="5" t="inlineStr">
        <is>
          <t>u</t>
        </is>
      </c>
      <c r="Q20" s="5" t="inlineStr">
        <is>
          <t>open</t>
        </is>
      </c>
      <c r="R20" s="6" t="n"/>
      <c r="S20" s="4" t="n"/>
      <c r="T20" s="4" t="n"/>
      <c r="U20" s="7" t="inlineStr"/>
    </row>
    <row r="21">
      <c r="A21" s="4" t="inlineStr">
        <is>
          <t>verse</t>
        </is>
      </c>
      <c r="B21" s="4" t="inlineStr">
        <is>
          <t>V1f</t>
        </is>
      </c>
      <c r="C21" s="4" t="inlineStr">
        <is>
          <t>lead</t>
        </is>
      </c>
      <c r="D21" s="4" t="n">
        <v>6</v>
      </c>
      <c r="E21" s="4" t="n">
        <v>2.5</v>
      </c>
      <c r="F21" s="4" t="inlineStr">
        <is>
          <t>I</t>
        </is>
      </c>
      <c r="G21" s="4" t="inlineStr">
        <is>
          <t>A</t>
        </is>
      </c>
      <c r="H21" s="4" t="inlineStr">
        <is>
          <t>T</t>
        </is>
      </c>
      <c r="I21" s="4" t="inlineStr">
        <is>
          <t>2</t>
        </is>
      </c>
      <c r="J21" s="4" t="inlineStr">
        <is>
          <t>B3</t>
        </is>
      </c>
      <c r="K21" s="4" t="n">
        <v>2</v>
      </c>
      <c r="L21" s="4">
        <f>IF(OR(C21&lt;&gt;C20,K21="",K20=""),"",K21-K20)</f>
        <v/>
      </c>
      <c r="M21" s="4">
        <f>IF(L21="","",IF(L21=0,"repeat",IF(ABS(L21)&lt;=2,"step","leap")))</f>
        <v/>
      </c>
      <c r="N21" s="4">
        <f>IF(F21&lt;&gt;F20,"Y","")</f>
        <v/>
      </c>
      <c r="O21" s="5" t="inlineStr">
        <is>
          <t>N</t>
        </is>
      </c>
      <c r="P21" s="5" t="inlineStr">
        <is>
          <t>u</t>
        </is>
      </c>
      <c r="Q21" s="5" t="inlineStr">
        <is>
          <t>open</t>
        </is>
      </c>
      <c r="R21" s="6" t="n"/>
      <c r="S21" s="4" t="n"/>
      <c r="T21" s="4" t="n"/>
      <c r="U21" s="7" t="inlineStr">
        <is>
          <t>quarter; phrase parks on 2 - unresolved. Bar 7 (I/b7) vocal tacet</t>
        </is>
      </c>
    </row>
    <row r="22">
      <c r="A22" s="4" t="inlineStr">
        <is>
          <t>verse</t>
        </is>
      </c>
      <c r="B22" s="4" t="inlineStr">
        <is>
          <t>V2a</t>
        </is>
      </c>
      <c r="C22" s="4" t="inlineStr">
        <is>
          <t>lead</t>
        </is>
      </c>
      <c r="D22" s="4" t="n">
        <v>8</v>
      </c>
      <c r="E22" s="4" t="n">
        <v>1</v>
      </c>
      <c r="F22" s="4" t="inlineStr">
        <is>
          <t>bIII</t>
        </is>
      </c>
      <c r="G22" s="4" t="inlineStr">
        <is>
          <t>C</t>
        </is>
      </c>
      <c r="H22" s="4" t="inlineStr">
        <is>
          <t>T</t>
        </is>
      </c>
      <c r="I22" s="4" t="inlineStr">
        <is>
          <t>5</t>
        </is>
      </c>
      <c r="J22" s="4" t="inlineStr">
        <is>
          <t>E4</t>
        </is>
      </c>
      <c r="K22" s="4" t="n">
        <v>7</v>
      </c>
      <c r="L22" s="4">
        <f>IF(OR(C22&lt;&gt;C21,K22="",K21=""),"",K22-K21)</f>
        <v/>
      </c>
      <c r="M22" s="4">
        <f>IF(L22="","",IF(L22=0,"repeat",IF(ABS(L22)&lt;=2,"step","leap")))</f>
        <v/>
      </c>
      <c r="N22" s="4">
        <f>IF(F22&lt;&gt;F21,"Y","")</f>
        <v/>
      </c>
      <c r="O22" s="5" t="inlineStr">
        <is>
          <t>Y</t>
        </is>
      </c>
      <c r="P22" s="5" t="inlineStr">
        <is>
          <t>S</t>
        </is>
      </c>
      <c r="Q22" s="5" t="inlineStr">
        <is>
          <t>closed</t>
        </is>
      </c>
      <c r="R22" s="6" t="n"/>
      <c r="S22" s="4" t="n"/>
      <c r="T22" s="4" t="n"/>
      <c r="U22" s="7" t="inlineStr">
        <is>
          <t>answer phrase (See-how figure): same chant, new words</t>
        </is>
      </c>
    </row>
    <row r="23">
      <c r="A23" s="4" t="inlineStr">
        <is>
          <t>verse</t>
        </is>
      </c>
      <c r="B23" s="4" t="inlineStr">
        <is>
          <t>V2a</t>
        </is>
      </c>
      <c r="C23" s="4" t="inlineStr">
        <is>
          <t>lead</t>
        </is>
      </c>
      <c r="D23" s="4" t="n">
        <v>8</v>
      </c>
      <c r="E23" s="4" t="n">
        <v>1.5</v>
      </c>
      <c r="F23" s="4" t="inlineStr">
        <is>
          <t>bIII</t>
        </is>
      </c>
      <c r="G23" s="4" t="inlineStr">
        <is>
          <t>C</t>
        </is>
      </c>
      <c r="H23" s="4" t="inlineStr">
        <is>
          <t>T</t>
        </is>
      </c>
      <c r="I23" s="4" t="inlineStr">
        <is>
          <t>5</t>
        </is>
      </c>
      <c r="J23" s="4" t="inlineStr">
        <is>
          <t>E4</t>
        </is>
      </c>
      <c r="K23" s="4" t="n">
        <v>7</v>
      </c>
      <c r="L23" s="4">
        <f>IF(OR(C23&lt;&gt;C22,K23="",K22=""),"",K23-K22)</f>
        <v/>
      </c>
      <c r="M23" s="4">
        <f>IF(L23="","",IF(L23=0,"repeat",IF(ABS(L23)&lt;=2,"step","leap")))</f>
        <v/>
      </c>
      <c r="N23" s="4">
        <f>IF(F23&lt;&gt;F22,"Y","")</f>
        <v/>
      </c>
      <c r="O23" s="5" t="inlineStr">
        <is>
          <t>Y</t>
        </is>
      </c>
      <c r="P23" s="5" t="inlineStr">
        <is>
          <t>u</t>
        </is>
      </c>
      <c r="Q23" s="5" t="inlineStr">
        <is>
          <t>open</t>
        </is>
      </c>
      <c r="R23" s="6" t="n"/>
      <c r="S23" s="4" t="n"/>
      <c r="T23" s="4" t="n"/>
      <c r="U23" s="7" t="inlineStr"/>
    </row>
    <row r="24">
      <c r="A24" s="4" t="inlineStr">
        <is>
          <t>verse</t>
        </is>
      </c>
      <c r="B24" s="4" t="inlineStr">
        <is>
          <t>V2a</t>
        </is>
      </c>
      <c r="C24" s="4" t="inlineStr">
        <is>
          <t>lead</t>
        </is>
      </c>
      <c r="D24" s="4" t="n">
        <v>8</v>
      </c>
      <c r="E24" s="4" t="n">
        <v>2</v>
      </c>
      <c r="F24" s="4" t="inlineStr">
        <is>
          <t>bIII</t>
        </is>
      </c>
      <c r="G24" s="4" t="inlineStr">
        <is>
          <t>C</t>
        </is>
      </c>
      <c r="H24" s="4" t="inlineStr">
        <is>
          <t>T</t>
        </is>
      </c>
      <c r="I24" s="4" t="inlineStr">
        <is>
          <t>#4</t>
        </is>
      </c>
      <c r="J24" s="4" t="inlineStr">
        <is>
          <t>D#4</t>
        </is>
      </c>
      <c r="K24" s="4" t="n">
        <v>6</v>
      </c>
      <c r="L24" s="4">
        <f>IF(OR(C24&lt;&gt;C23,K24="",K23=""),"",K24-K23)</f>
        <v/>
      </c>
      <c r="M24" s="4">
        <f>IF(L24="","",IF(L24=0,"repeat",IF(ABS(L24)&lt;=2,"step","leap")))</f>
        <v/>
      </c>
      <c r="N24" s="4">
        <f>IF(F24&lt;&gt;F23,"Y","")</f>
        <v/>
      </c>
      <c r="O24" s="5" t="inlineStr">
        <is>
          <t>N</t>
        </is>
      </c>
      <c r="P24" s="5" t="inlineStr">
        <is>
          <t>u</t>
        </is>
      </c>
      <c r="Q24" s="5" t="inlineStr">
        <is>
          <t>open</t>
        </is>
      </c>
      <c r="R24" s="6" t="n"/>
      <c r="S24" s="4" t="n"/>
      <c r="T24" s="4" t="n"/>
      <c r="U24" s="7" t="inlineStr">
        <is>
          <t>sharp engraved mid-figure</t>
        </is>
      </c>
    </row>
    <row r="25">
      <c r="A25" s="4" t="inlineStr">
        <is>
          <t>verse</t>
        </is>
      </c>
      <c r="B25" s="4" t="inlineStr">
        <is>
          <t>V2a</t>
        </is>
      </c>
      <c r="C25" s="4" t="inlineStr">
        <is>
          <t>lead</t>
        </is>
      </c>
      <c r="D25" s="4" t="n">
        <v>8</v>
      </c>
      <c r="E25" s="4" t="n">
        <v>2.5</v>
      </c>
      <c r="F25" s="4" t="inlineStr">
        <is>
          <t>bIII</t>
        </is>
      </c>
      <c r="G25" s="4" t="inlineStr">
        <is>
          <t>C</t>
        </is>
      </c>
      <c r="H25" s="4" t="inlineStr">
        <is>
          <t>T</t>
        </is>
      </c>
      <c r="I25" s="4" t="inlineStr">
        <is>
          <t>5</t>
        </is>
      </c>
      <c r="J25" s="4" t="inlineStr">
        <is>
          <t>E4</t>
        </is>
      </c>
      <c r="K25" s="4" t="n">
        <v>7</v>
      </c>
      <c r="L25" s="4">
        <f>IF(OR(C25&lt;&gt;C24,K25="",K24=""),"",K25-K24)</f>
        <v/>
      </c>
      <c r="M25" s="4">
        <f>IF(L25="","",IF(L25=0,"repeat",IF(ABS(L25)&lt;=2,"step","leap")))</f>
        <v/>
      </c>
      <c r="N25" s="4">
        <f>IF(F25&lt;&gt;F24,"Y","")</f>
        <v/>
      </c>
      <c r="O25" s="5" t="inlineStr">
        <is>
          <t>Y</t>
        </is>
      </c>
      <c r="P25" s="5" t="inlineStr">
        <is>
          <t>S</t>
        </is>
      </c>
      <c r="Q25" s="5" t="inlineStr">
        <is>
          <t>open</t>
        </is>
      </c>
      <c r="R25" s="6" t="n"/>
      <c r="S25" s="4" t="n"/>
      <c r="T25" s="4" t="n"/>
      <c r="U25" s="7" t="inlineStr"/>
    </row>
    <row r="26">
      <c r="A26" s="4" t="inlineStr">
        <is>
          <t>verse</t>
        </is>
      </c>
      <c r="B26" s="4" t="inlineStr">
        <is>
          <t>V2a</t>
        </is>
      </c>
      <c r="C26" s="4" t="inlineStr">
        <is>
          <t>lead</t>
        </is>
      </c>
      <c r="D26" s="4" t="n">
        <v>8</v>
      </c>
      <c r="E26" s="4" t="n">
        <v>3.5</v>
      </c>
      <c r="F26" s="4" t="inlineStr">
        <is>
          <t>bIII</t>
        </is>
      </c>
      <c r="G26" s="4" t="inlineStr">
        <is>
          <t>C</t>
        </is>
      </c>
      <c r="H26" s="4" t="inlineStr">
        <is>
          <t>T</t>
        </is>
      </c>
      <c r="I26" s="4" t="inlineStr">
        <is>
          <t>5</t>
        </is>
      </c>
      <c r="J26" s="4" t="inlineStr">
        <is>
          <t>E4</t>
        </is>
      </c>
      <c r="K26" s="4" t="n">
        <v>7</v>
      </c>
      <c r="L26" s="4">
        <f>IF(OR(C26&lt;&gt;C25,K26="",K25=""),"",K26-K25)</f>
        <v/>
      </c>
      <c r="M26" s="4">
        <f>IF(L26="","",IF(L26=0,"repeat",IF(ABS(L26)&lt;=2,"step","leap")))</f>
        <v/>
      </c>
      <c r="N26" s="4">
        <f>IF(F26&lt;&gt;F25,"Y","")</f>
        <v/>
      </c>
      <c r="O26" s="5" t="inlineStr">
        <is>
          <t>Y</t>
        </is>
      </c>
      <c r="P26" s="5" t="inlineStr">
        <is>
          <t>u</t>
        </is>
      </c>
      <c r="Q26" s="5" t="inlineStr">
        <is>
          <t>open</t>
        </is>
      </c>
      <c r="R26" s="6" t="n"/>
      <c r="S26" s="4" t="n"/>
      <c r="T26" s="4" t="n"/>
      <c r="U26" s="7" t="inlineStr"/>
    </row>
    <row r="27">
      <c r="A27" s="4" t="inlineStr">
        <is>
          <t>verse</t>
        </is>
      </c>
      <c r="B27" s="4" t="inlineStr">
        <is>
          <t>V2a</t>
        </is>
      </c>
      <c r="C27" s="4" t="inlineStr">
        <is>
          <t>chorus</t>
        </is>
      </c>
      <c r="D27" s="4" t="n">
        <v>8</v>
      </c>
      <c r="E27" s="4" t="n">
        <v>1</v>
      </c>
      <c r="F27" s="4" t="inlineStr">
        <is>
          <t>bIII</t>
        </is>
      </c>
      <c r="G27" s="4" t="inlineStr">
        <is>
          <t>C</t>
        </is>
      </c>
      <c r="H27" s="4" t="inlineStr">
        <is>
          <t>T</t>
        </is>
      </c>
      <c r="I27" s="4" t="inlineStr">
        <is>
          <t>-</t>
        </is>
      </c>
      <c r="J27" s="4" t="inlineStr">
        <is>
          <t>X</t>
        </is>
      </c>
      <c r="K27" s="4" t="n"/>
      <c r="L27" s="4">
        <f>IF(OR(C27&lt;&gt;C26,K27="",K26=""),"",K27-K26)</f>
        <v/>
      </c>
      <c r="M27" s="4">
        <f>IF(L27="","",IF(L27=0,"repeat",IF(ABS(L27)&lt;=2,"step","leap")))</f>
        <v/>
      </c>
      <c r="N27" s="4">
        <f>IF(F27&lt;&gt;F26,"Y","")</f>
        <v/>
      </c>
      <c r="O27" s="5" t="inlineStr"/>
      <c r="P27" s="5" t="inlineStr">
        <is>
          <t>S</t>
        </is>
      </c>
      <c r="Q27" s="5" t="inlineStr">
        <is>
          <t>open</t>
        </is>
      </c>
      <c r="R27" s="6" t="n"/>
      <c r="S27" s="4" t="n"/>
      <c r="T27" s="4" t="n"/>
      <c r="U27" s="7" t="inlineStr">
        <is>
          <t>D.S.2x only: backing 'Chorus' staff shouts a triplet x-notehead chant under the See-how bars (unpitched)</t>
        </is>
      </c>
    </row>
    <row r="28">
      <c r="A28" s="4" t="inlineStr">
        <is>
          <t>verse</t>
        </is>
      </c>
      <c r="B28" s="4" t="inlineStr">
        <is>
          <t>V2b</t>
        </is>
      </c>
      <c r="C28" s="4" t="inlineStr">
        <is>
          <t>lead</t>
        </is>
      </c>
      <c r="D28" s="4" t="n">
        <v>9</v>
      </c>
      <c r="E28" s="4" t="n">
        <v>1</v>
      </c>
      <c r="F28" s="4" t="inlineStr">
        <is>
          <t>bIII</t>
        </is>
      </c>
      <c r="G28" s="4" t="inlineStr">
        <is>
          <t>C</t>
        </is>
      </c>
      <c r="H28" s="4" t="inlineStr">
        <is>
          <t>T</t>
        </is>
      </c>
      <c r="I28" s="4" t="inlineStr">
        <is>
          <t>5</t>
        </is>
      </c>
      <c r="J28" s="4" t="inlineStr">
        <is>
          <t>E4</t>
        </is>
      </c>
      <c r="K28" s="4" t="n">
        <v>7</v>
      </c>
      <c r="L28" s="4">
        <f>IF(OR(C28&lt;&gt;C27,K28="",K27=""),"",K28-K27)</f>
        <v/>
      </c>
      <c r="M28" s="4">
        <f>IF(L28="","",IF(L28=0,"repeat",IF(ABS(L28)&lt;=2,"step","leap")))</f>
        <v/>
      </c>
      <c r="N28" s="4">
        <f>IF(F28&lt;&gt;F27,"Y","")</f>
        <v/>
      </c>
      <c r="O28" s="5" t="inlineStr">
        <is>
          <t>Y</t>
        </is>
      </c>
      <c r="P28" s="5" t="inlineStr">
        <is>
          <t>S</t>
        </is>
      </c>
      <c r="Q28" s="5" t="inlineStr">
        <is>
          <t>closed</t>
        </is>
      </c>
      <c r="R28" s="6" t="n"/>
      <c r="S28" s="4" t="n"/>
      <c r="T28" s="4" t="n"/>
      <c r="U28" s="7" t="inlineStr">
        <is>
          <t>16th-note patter bar</t>
        </is>
      </c>
    </row>
    <row r="29">
      <c r="A29" s="4" t="inlineStr">
        <is>
          <t>verse</t>
        </is>
      </c>
      <c r="B29" s="4" t="inlineStr">
        <is>
          <t>V2b</t>
        </is>
      </c>
      <c r="C29" s="4" t="inlineStr">
        <is>
          <t>lead</t>
        </is>
      </c>
      <c r="D29" s="4" t="n">
        <v>9</v>
      </c>
      <c r="E29" s="4" t="n">
        <v>1.5</v>
      </c>
      <c r="F29" s="4" t="inlineStr">
        <is>
          <t>bIII</t>
        </is>
      </c>
      <c r="G29" s="4" t="inlineStr">
        <is>
          <t>C</t>
        </is>
      </c>
      <c r="H29" s="4" t="inlineStr">
        <is>
          <t>T</t>
        </is>
      </c>
      <c r="I29" s="4" t="inlineStr">
        <is>
          <t>4</t>
        </is>
      </c>
      <c r="J29" s="4" t="inlineStr">
        <is>
          <t>D4</t>
        </is>
      </c>
      <c r="K29" s="4" t="n">
        <v>5</v>
      </c>
      <c r="L29" s="4">
        <f>IF(OR(C29&lt;&gt;C28,K29="",K28=""),"",K29-K28)</f>
        <v/>
      </c>
      <c r="M29" s="4">
        <f>IF(L29="","",IF(L29=0,"repeat",IF(ABS(L29)&lt;=2,"step","leap")))</f>
        <v/>
      </c>
      <c r="N29" s="4">
        <f>IF(F29&lt;&gt;F28,"Y","")</f>
        <v/>
      </c>
      <c r="O29" s="5" t="inlineStr">
        <is>
          <t>N</t>
        </is>
      </c>
      <c r="P29" s="5" t="inlineStr">
        <is>
          <t>u</t>
        </is>
      </c>
      <c r="Q29" s="5" t="inlineStr">
        <is>
          <t>open</t>
        </is>
      </c>
      <c r="R29" s="6" t="n"/>
      <c r="S29" s="4" t="n"/>
      <c r="T29" s="4" t="n"/>
      <c r="U29" s="7" t="inlineStr">
        <is>
          <t>approx</t>
        </is>
      </c>
    </row>
    <row r="30">
      <c r="A30" s="4" t="inlineStr">
        <is>
          <t>verse</t>
        </is>
      </c>
      <c r="B30" s="4" t="inlineStr">
        <is>
          <t>V2b</t>
        </is>
      </c>
      <c r="C30" s="4" t="inlineStr">
        <is>
          <t>lead</t>
        </is>
      </c>
      <c r="D30" s="4" t="n">
        <v>9</v>
      </c>
      <c r="E30" s="4" t="n">
        <v>2</v>
      </c>
      <c r="F30" s="4" t="inlineStr">
        <is>
          <t>bIII</t>
        </is>
      </c>
      <c r="G30" s="4" t="inlineStr">
        <is>
          <t>C</t>
        </is>
      </c>
      <c r="H30" s="4" t="inlineStr">
        <is>
          <t>T</t>
        </is>
      </c>
      <c r="I30" s="4" t="inlineStr">
        <is>
          <t>5</t>
        </is>
      </c>
      <c r="J30" s="4" t="inlineStr">
        <is>
          <t>E4</t>
        </is>
      </c>
      <c r="K30" s="4" t="n">
        <v>7</v>
      </c>
      <c r="L30" s="4">
        <f>IF(OR(C30&lt;&gt;C29,K30="",K29=""),"",K30-K29)</f>
        <v/>
      </c>
      <c r="M30" s="4">
        <f>IF(L30="","",IF(L30=0,"repeat",IF(ABS(L30)&lt;=2,"step","leap")))</f>
        <v/>
      </c>
      <c r="N30" s="4">
        <f>IF(F30&lt;&gt;F29,"Y","")</f>
        <v/>
      </c>
      <c r="O30" s="5" t="inlineStr">
        <is>
          <t>Y</t>
        </is>
      </c>
      <c r="P30" s="5" t="inlineStr">
        <is>
          <t>u</t>
        </is>
      </c>
      <c r="Q30" s="5" t="inlineStr">
        <is>
          <t>open</t>
        </is>
      </c>
      <c r="R30" s="6" t="n"/>
      <c r="S30" s="4" t="n"/>
      <c r="T30" s="4" t="n"/>
      <c r="U30" s="7" t="inlineStr"/>
    </row>
    <row r="31">
      <c r="A31" s="4" t="inlineStr">
        <is>
          <t>verse</t>
        </is>
      </c>
      <c r="B31" s="4" t="inlineStr">
        <is>
          <t>V2b</t>
        </is>
      </c>
      <c r="C31" s="4" t="inlineStr">
        <is>
          <t>lead</t>
        </is>
      </c>
      <c r="D31" s="4" t="n">
        <v>9</v>
      </c>
      <c r="E31" s="4" t="n">
        <v>2.5</v>
      </c>
      <c r="F31" s="4" t="inlineStr">
        <is>
          <t>bIII</t>
        </is>
      </c>
      <c r="G31" s="4" t="inlineStr">
        <is>
          <t>C</t>
        </is>
      </c>
      <c r="H31" s="4" t="inlineStr">
        <is>
          <t>T</t>
        </is>
      </c>
      <c r="I31" s="4" t="inlineStr">
        <is>
          <t>4</t>
        </is>
      </c>
      <c r="J31" s="4" t="inlineStr">
        <is>
          <t>D4</t>
        </is>
      </c>
      <c r="K31" s="4" t="n">
        <v>5</v>
      </c>
      <c r="L31" s="4">
        <f>IF(OR(C31&lt;&gt;C30,K31="",K30=""),"",K31-K30)</f>
        <v/>
      </c>
      <c r="M31" s="4">
        <f>IF(L31="","",IF(L31=0,"repeat",IF(ABS(L31)&lt;=2,"step","leap")))</f>
        <v/>
      </c>
      <c r="N31" s="4">
        <f>IF(F31&lt;&gt;F30,"Y","")</f>
        <v/>
      </c>
      <c r="O31" s="5" t="inlineStr">
        <is>
          <t>N</t>
        </is>
      </c>
      <c r="P31" s="5" t="inlineStr">
        <is>
          <t>S</t>
        </is>
      </c>
      <c r="Q31" s="5" t="inlineStr">
        <is>
          <t>open</t>
        </is>
      </c>
      <c r="R31" s="6" t="n"/>
      <c r="S31" s="4" t="n"/>
      <c r="T31" s="4" t="n"/>
      <c r="U31" s="7" t="inlineStr">
        <is>
          <t>approx</t>
        </is>
      </c>
    </row>
    <row r="32">
      <c r="A32" s="4" t="inlineStr">
        <is>
          <t>verse</t>
        </is>
      </c>
      <c r="B32" s="4" t="inlineStr">
        <is>
          <t>V2b</t>
        </is>
      </c>
      <c r="C32" s="4" t="inlineStr">
        <is>
          <t>lead</t>
        </is>
      </c>
      <c r="D32" s="4" t="n">
        <v>9</v>
      </c>
      <c r="E32" s="4" t="n">
        <v>3.5</v>
      </c>
      <c r="F32" s="4" t="inlineStr">
        <is>
          <t>bIII</t>
        </is>
      </c>
      <c r="G32" s="4" t="inlineStr">
        <is>
          <t>C</t>
        </is>
      </c>
      <c r="H32" s="4" t="inlineStr">
        <is>
          <t>T</t>
        </is>
      </c>
      <c r="I32" s="4" t="inlineStr">
        <is>
          <t>5</t>
        </is>
      </c>
      <c r="J32" s="4" t="inlineStr">
        <is>
          <t>E4</t>
        </is>
      </c>
      <c r="K32" s="4" t="n">
        <v>7</v>
      </c>
      <c r="L32" s="4">
        <f>IF(OR(C32&lt;&gt;C31,K32="",K31=""),"",K32-K31)</f>
        <v/>
      </c>
      <c r="M32" s="4">
        <f>IF(L32="","",IF(L32=0,"repeat",IF(ABS(L32)&lt;=2,"step","leap")))</f>
        <v/>
      </c>
      <c r="N32" s="4">
        <f>IF(F32&lt;&gt;F31,"Y","")</f>
        <v/>
      </c>
      <c r="O32" s="5" t="inlineStr">
        <is>
          <t>Y</t>
        </is>
      </c>
      <c r="P32" s="5" t="inlineStr">
        <is>
          <t>S</t>
        </is>
      </c>
      <c r="Q32" s="5" t="inlineStr">
        <is>
          <t>closed</t>
        </is>
      </c>
      <c r="R32" s="6" t="n"/>
      <c r="S32" s="4" t="n"/>
      <c r="T32" s="4" t="n"/>
      <c r="U32" s="7" t="inlineStr"/>
    </row>
    <row r="33">
      <c r="A33" s="4" t="inlineStr">
        <is>
          <t>verse</t>
        </is>
      </c>
      <c r="B33" s="4" t="inlineStr">
        <is>
          <t>V2b</t>
        </is>
      </c>
      <c r="C33" s="4" t="inlineStr">
        <is>
          <t>lead</t>
        </is>
      </c>
      <c r="D33" s="4" t="n">
        <v>9</v>
      </c>
      <c r="E33" s="4" t="n">
        <v>4</v>
      </c>
      <c r="F33" s="4" t="inlineStr">
        <is>
          <t>bIII</t>
        </is>
      </c>
      <c r="G33" s="4" t="inlineStr">
        <is>
          <t>C</t>
        </is>
      </c>
      <c r="H33" s="4" t="inlineStr">
        <is>
          <t>T</t>
        </is>
      </c>
      <c r="I33" s="4" t="inlineStr">
        <is>
          <t>5</t>
        </is>
      </c>
      <c r="J33" s="4" t="inlineStr">
        <is>
          <t>E4</t>
        </is>
      </c>
      <c r="K33" s="4" t="n">
        <v>7</v>
      </c>
      <c r="L33" s="4">
        <f>IF(OR(C33&lt;&gt;C32,K33="",K32=""),"",K33-K32)</f>
        <v/>
      </c>
      <c r="M33" s="4">
        <f>IF(L33="","",IF(L33=0,"repeat",IF(ABS(L33)&lt;=2,"step","leap")))</f>
        <v/>
      </c>
      <c r="N33" s="4">
        <f>IF(F33&lt;&gt;F32,"Y","")</f>
        <v/>
      </c>
      <c r="O33" s="5" t="inlineStr">
        <is>
          <t>Y</t>
        </is>
      </c>
      <c r="P33" s="5" t="inlineStr">
        <is>
          <t>u</t>
        </is>
      </c>
      <c r="Q33" s="5" t="inlineStr">
        <is>
          <t>open</t>
        </is>
      </c>
      <c r="R33" s="6" t="n"/>
      <c r="S33" s="4" t="n"/>
      <c r="T33" s="4" t="n"/>
      <c r="U33" s="7" t="inlineStr">
        <is>
          <t>tied into the IV bar - melisma begins</t>
        </is>
      </c>
    </row>
    <row r="34">
      <c r="A34" s="4" t="inlineStr">
        <is>
          <t>verse</t>
        </is>
      </c>
      <c r="B34" s="4" t="inlineStr">
        <is>
          <t>V2c</t>
        </is>
      </c>
      <c r="C34" s="4" t="inlineStr">
        <is>
          <t>lead</t>
        </is>
      </c>
      <c r="D34" s="4" t="n">
        <v>10</v>
      </c>
      <c r="E34" s="4" t="n">
        <v>1.5</v>
      </c>
      <c r="F34" s="4" t="inlineStr">
        <is>
          <t>IV</t>
        </is>
      </c>
      <c r="G34" s="4" t="inlineStr">
        <is>
          <t>D</t>
        </is>
      </c>
      <c r="H34" s="4" t="inlineStr">
        <is>
          <t>T</t>
        </is>
      </c>
      <c r="I34" s="4" t="inlineStr">
        <is>
          <t>4</t>
        </is>
      </c>
      <c r="J34" s="4" t="inlineStr">
        <is>
          <t>D4</t>
        </is>
      </c>
      <c r="K34" s="4" t="n">
        <v>5</v>
      </c>
      <c r="L34" s="4">
        <f>IF(OR(C34&lt;&gt;C33,K34="",K33=""),"",K34-K33)</f>
        <v/>
      </c>
      <c r="M34" s="4">
        <f>IF(L34="","",IF(L34=0,"repeat",IF(ABS(L34)&lt;=2,"step","leap")))</f>
        <v/>
      </c>
      <c r="N34" s="4">
        <f>IF(F34&lt;&gt;F33,"Y","")</f>
        <v/>
      </c>
      <c r="O34" s="5" t="inlineStr">
        <is>
          <t>Y</t>
        </is>
      </c>
      <c r="P34" s="5" t="inlineStr">
        <is>
          <t>u</t>
        </is>
      </c>
      <c r="Q34" s="5" t="inlineStr">
        <is>
          <t>open</t>
        </is>
      </c>
      <c r="R34" s="6" t="n"/>
      <c r="S34" s="4" t="n"/>
      <c r="T34" s="4" t="n"/>
      <c r="U34" s="7" t="inlineStr">
        <is>
          <t>held-word melisma steps down</t>
        </is>
      </c>
    </row>
    <row r="35">
      <c r="A35" s="4" t="inlineStr">
        <is>
          <t>verse</t>
        </is>
      </c>
      <c r="B35" s="4" t="inlineStr">
        <is>
          <t>V2c</t>
        </is>
      </c>
      <c r="C35" s="4" t="inlineStr">
        <is>
          <t>lead</t>
        </is>
      </c>
      <c r="D35" s="4" t="n">
        <v>10</v>
      </c>
      <c r="E35" s="4" t="n">
        <v>2</v>
      </c>
      <c r="F35" s="4" t="inlineStr">
        <is>
          <t>IV</t>
        </is>
      </c>
      <c r="G35" s="4" t="inlineStr">
        <is>
          <t>D</t>
        </is>
      </c>
      <c r="H35" s="4" t="inlineStr">
        <is>
          <t>T</t>
        </is>
      </c>
      <c r="I35" s="4" t="inlineStr">
        <is>
          <t>b3</t>
        </is>
      </c>
      <c r="J35" s="4" t="inlineStr">
        <is>
          <t>C4</t>
        </is>
      </c>
      <c r="K35" s="4" t="n">
        <v>3</v>
      </c>
      <c r="L35" s="4">
        <f>IF(OR(C35&lt;&gt;C34,K35="",K34=""),"",K35-K34)</f>
        <v/>
      </c>
      <c r="M35" s="4">
        <f>IF(L35="","",IF(L35=0,"repeat",IF(ABS(L35)&lt;=2,"step","leap")))</f>
        <v/>
      </c>
      <c r="N35" s="4">
        <f>IF(F35&lt;&gt;F34,"Y","")</f>
        <v/>
      </c>
      <c r="O35" s="5" t="inlineStr">
        <is>
          <t>N</t>
        </is>
      </c>
      <c r="P35" s="5" t="inlineStr">
        <is>
          <t>u</t>
        </is>
      </c>
      <c r="Q35" s="5" t="inlineStr">
        <is>
          <t>open</t>
        </is>
      </c>
      <c r="R35" s="6" t="n"/>
      <c r="S35" s="4" t="n"/>
      <c r="T35" s="4" t="n"/>
      <c r="U35" s="7" t="inlineStr">
        <is>
          <t>engraved NATURAL: b3 blue note inside the melisma</t>
        </is>
      </c>
    </row>
    <row r="36">
      <c r="A36" s="4" t="inlineStr">
        <is>
          <t>verse</t>
        </is>
      </c>
      <c r="B36" s="4" t="inlineStr">
        <is>
          <t>V2c</t>
        </is>
      </c>
      <c r="C36" s="4" t="inlineStr">
        <is>
          <t>lead</t>
        </is>
      </c>
      <c r="D36" s="4" t="n">
        <v>10</v>
      </c>
      <c r="E36" s="4" t="n">
        <v>2.5</v>
      </c>
      <c r="F36" s="4" t="inlineStr">
        <is>
          <t>IV</t>
        </is>
      </c>
      <c r="G36" s="4" t="inlineStr">
        <is>
          <t>D</t>
        </is>
      </c>
      <c r="H36" s="4" t="inlineStr">
        <is>
          <t>T</t>
        </is>
      </c>
      <c r="I36" s="4" t="inlineStr">
        <is>
          <t>2</t>
        </is>
      </c>
      <c r="J36" s="4" t="inlineStr">
        <is>
          <t>B3</t>
        </is>
      </c>
      <c r="K36" s="4" t="n">
        <v>2</v>
      </c>
      <c r="L36" s="4">
        <f>IF(OR(C36&lt;&gt;C35,K36="",K35=""),"",K36-K35)</f>
        <v/>
      </c>
      <c r="M36" s="4">
        <f>IF(L36="","",IF(L36=0,"repeat",IF(ABS(L36)&lt;=2,"step","leap")))</f>
        <v/>
      </c>
      <c r="N36" s="4">
        <f>IF(F36&lt;&gt;F35,"Y","")</f>
        <v/>
      </c>
      <c r="O36" s="5" t="inlineStr">
        <is>
          <t>N</t>
        </is>
      </c>
      <c r="P36" s="5" t="inlineStr">
        <is>
          <t>u</t>
        </is>
      </c>
      <c r="Q36" s="5" t="inlineStr">
        <is>
          <t>open</t>
        </is>
      </c>
      <c r="R36" s="6" t="n"/>
      <c r="S36" s="4" t="n"/>
      <c r="T36" s="4" t="n"/>
      <c r="U36" s="7" t="inlineStr"/>
    </row>
    <row r="37">
      <c r="A37" s="4" t="inlineStr">
        <is>
          <t>verse</t>
        </is>
      </c>
      <c r="B37" s="4" t="inlineStr">
        <is>
          <t>V2c</t>
        </is>
      </c>
      <c r="C37" s="4" t="inlineStr">
        <is>
          <t>lead</t>
        </is>
      </c>
      <c r="D37" s="4" t="n">
        <v>10</v>
      </c>
      <c r="E37" s="4" t="n">
        <v>3</v>
      </c>
      <c r="F37" s="4" t="inlineStr">
        <is>
          <t>IV</t>
        </is>
      </c>
      <c r="G37" s="4" t="inlineStr">
        <is>
          <t>D</t>
        </is>
      </c>
      <c r="H37" s="4" t="inlineStr">
        <is>
          <t>T</t>
        </is>
      </c>
      <c r="I37" s="4" t="inlineStr">
        <is>
          <t>2</t>
        </is>
      </c>
      <c r="J37" s="4" t="inlineStr">
        <is>
          <t>B3</t>
        </is>
      </c>
      <c r="K37" s="4" t="n">
        <v>2</v>
      </c>
      <c r="L37" s="4">
        <f>IF(OR(C37&lt;&gt;C36,K37="",K36=""),"",K37-K36)</f>
        <v/>
      </c>
      <c r="M37" s="4">
        <f>IF(L37="","",IF(L37=0,"repeat",IF(ABS(L37)&lt;=2,"step","leap")))</f>
        <v/>
      </c>
      <c r="N37" s="4">
        <f>IF(F37&lt;&gt;F36,"Y","")</f>
        <v/>
      </c>
      <c r="O37" s="5" t="inlineStr">
        <is>
          <t>N</t>
        </is>
      </c>
      <c r="P37" s="5" t="inlineStr">
        <is>
          <t>S</t>
        </is>
      </c>
      <c r="Q37" s="5" t="inlineStr">
        <is>
          <t>open</t>
        </is>
      </c>
      <c r="R37" s="6" t="n"/>
      <c r="S37" s="4" t="n"/>
      <c r="T37" s="4" t="n"/>
      <c r="U37" s="7" t="inlineStr">
        <is>
          <t>new syllable, same pitch</t>
        </is>
      </c>
    </row>
    <row r="38">
      <c r="A38" s="4" t="inlineStr">
        <is>
          <t>verse</t>
        </is>
      </c>
      <c r="B38" s="4" t="inlineStr">
        <is>
          <t>V2c</t>
        </is>
      </c>
      <c r="C38" s="4" t="inlineStr">
        <is>
          <t>lead</t>
        </is>
      </c>
      <c r="D38" s="4" t="n">
        <v>10</v>
      </c>
      <c r="E38" s="4" t="n">
        <v>3.5</v>
      </c>
      <c r="F38" s="4" t="inlineStr">
        <is>
          <t>IV</t>
        </is>
      </c>
      <c r="G38" s="4" t="inlineStr">
        <is>
          <t>D</t>
        </is>
      </c>
      <c r="H38" s="4" t="inlineStr">
        <is>
          <t>T</t>
        </is>
      </c>
      <c r="I38" s="4" t="inlineStr">
        <is>
          <t>1</t>
        </is>
      </c>
      <c r="J38" s="4" t="inlineStr">
        <is>
          <t>A3</t>
        </is>
      </c>
      <c r="K38" s="4" t="n">
        <v>0</v>
      </c>
      <c r="L38" s="4">
        <f>IF(OR(C38&lt;&gt;C37,K38="",K37=""),"",K38-K37)</f>
        <v/>
      </c>
      <c r="M38" s="4">
        <f>IF(L38="","",IF(L38=0,"repeat",IF(ABS(L38)&lt;=2,"step","leap")))</f>
        <v/>
      </c>
      <c r="N38" s="4">
        <f>IF(F38&lt;&gt;F37,"Y","")</f>
        <v/>
      </c>
      <c r="O38" s="5" t="inlineStr">
        <is>
          <t>N</t>
        </is>
      </c>
      <c r="P38" s="5" t="inlineStr">
        <is>
          <t>u</t>
        </is>
      </c>
      <c r="Q38" s="5" t="inlineStr">
        <is>
          <t>open</t>
        </is>
      </c>
      <c r="R38" s="6" t="n"/>
      <c r="S38" s="4" t="n"/>
      <c r="T38" s="4" t="n"/>
      <c r="U38" s="7" t="inlineStr">
        <is>
          <t>quarter; falls home to 1 but over IV - no rest yet (approx)</t>
        </is>
      </c>
    </row>
    <row r="39">
      <c r="A39" s="4" t="inlineStr">
        <is>
          <t>verse</t>
        </is>
      </c>
      <c r="B39" s="4" t="inlineStr">
        <is>
          <t>V2d</t>
        </is>
      </c>
      <c r="C39" s="4" t="inlineStr">
        <is>
          <t>lead</t>
        </is>
      </c>
      <c r="D39" s="4" t="n">
        <v>11</v>
      </c>
      <c r="E39" s="4" t="n">
        <v>4.5</v>
      </c>
      <c r="F39" s="4" t="inlineStr">
        <is>
          <t>IV</t>
        </is>
      </c>
      <c r="G39" s="4" t="inlineStr">
        <is>
          <t>D</t>
        </is>
      </c>
      <c r="H39" s="4" t="inlineStr">
        <is>
          <t>T</t>
        </is>
      </c>
      <c r="I39" s="4" t="inlineStr">
        <is>
          <t>1</t>
        </is>
      </c>
      <c r="J39" s="4" t="inlineStr">
        <is>
          <t>A3</t>
        </is>
      </c>
      <c r="K39" s="4" t="n">
        <v>0</v>
      </c>
      <c r="L39" s="4">
        <f>IF(OR(C39&lt;&gt;C38,K39="",K38=""),"",K39-K38)</f>
        <v/>
      </c>
      <c r="M39" s="4">
        <f>IF(L39="","",IF(L39=0,"repeat",IF(ABS(L39)&lt;=2,"step","leap")))</f>
        <v/>
      </c>
      <c r="N39" s="4">
        <f>IF(F39&lt;&gt;F38,"Y","")</f>
        <v/>
      </c>
      <c r="O39" s="5" t="inlineStr">
        <is>
          <t>N</t>
        </is>
      </c>
      <c r="P39" s="5" t="inlineStr">
        <is>
          <t>u</t>
        </is>
      </c>
      <c r="Q39" s="5" t="inlineStr">
        <is>
          <t>open</t>
        </is>
      </c>
      <c r="R39" s="6" t="n"/>
      <c r="S39" s="4" t="n"/>
      <c r="T39" s="4" t="n"/>
      <c r="U39" s="7" t="inlineStr">
        <is>
          <t>pickup 8th into the refrain (approx)</t>
        </is>
      </c>
    </row>
    <row r="40">
      <c r="A40" s="4" t="inlineStr">
        <is>
          <t>refrain</t>
        </is>
      </c>
      <c r="B40" s="4" t="inlineStr">
        <is>
          <t>cry1</t>
        </is>
      </c>
      <c r="C40" s="4" t="inlineStr">
        <is>
          <t>lead</t>
        </is>
      </c>
      <c r="D40" s="4" t="n">
        <v>1</v>
      </c>
      <c r="E40" s="4" t="n">
        <v>1</v>
      </c>
      <c r="F40" s="4" t="inlineStr">
        <is>
          <t>I</t>
        </is>
      </c>
      <c r="G40" s="4" t="inlineStr">
        <is>
          <t>A</t>
        </is>
      </c>
      <c r="H40" s="4" t="inlineStr">
        <is>
          <t>T</t>
        </is>
      </c>
      <c r="I40" s="4" t="inlineStr">
        <is>
          <t>3</t>
        </is>
      </c>
      <c r="J40" s="4" t="inlineStr">
        <is>
          <t>C#4</t>
        </is>
      </c>
      <c r="K40" s="4" t="n">
        <v>4</v>
      </c>
      <c r="L40" s="4">
        <f>IF(OR(C40&lt;&gt;C39,K40="",K39=""),"",K40-K39)</f>
        <v/>
      </c>
      <c r="M40" s="4">
        <f>IF(L40="","",IF(L40=0,"repeat",IF(ABS(L40)&lt;=2,"step","leap")))</f>
        <v/>
      </c>
      <c r="N40" s="4">
        <f>IF(F40&lt;&gt;F39,"Y","")</f>
        <v/>
      </c>
      <c r="O40" s="5" t="inlineStr">
        <is>
          <t>Y</t>
        </is>
      </c>
      <c r="P40" s="5" t="inlineStr">
        <is>
          <t>S</t>
        </is>
      </c>
      <c r="Q40" s="5" t="inlineStr">
        <is>
          <t>open</t>
        </is>
      </c>
      <c r="R40" s="6" t="n"/>
      <c r="S40" s="4" t="n"/>
      <c r="T40" s="4" t="n"/>
      <c r="U40" s="7" t="inlineStr">
        <is>
          <t>held-word turn figure: 3-4-3 in 16ths then falling to 1</t>
        </is>
      </c>
    </row>
    <row r="41">
      <c r="A41" s="4" t="inlineStr">
        <is>
          <t>refrain</t>
        </is>
      </c>
      <c r="B41" s="4" t="inlineStr">
        <is>
          <t>cry1</t>
        </is>
      </c>
      <c r="C41" s="4" t="inlineStr">
        <is>
          <t>lead</t>
        </is>
      </c>
      <c r="D41" s="4" t="n">
        <v>1</v>
      </c>
      <c r="E41" s="4" t="n">
        <v>1.25</v>
      </c>
      <c r="F41" s="4" t="inlineStr">
        <is>
          <t>I</t>
        </is>
      </c>
      <c r="G41" s="4" t="inlineStr">
        <is>
          <t>A</t>
        </is>
      </c>
      <c r="H41" s="4" t="inlineStr">
        <is>
          <t>T</t>
        </is>
      </c>
      <c r="I41" s="4" t="inlineStr">
        <is>
          <t>4</t>
        </is>
      </c>
      <c r="J41" s="4" t="inlineStr">
        <is>
          <t>D4</t>
        </is>
      </c>
      <c r="K41" s="4" t="n">
        <v>5</v>
      </c>
      <c r="L41" s="4">
        <f>IF(OR(C41&lt;&gt;C40,K41="",K40=""),"",K41-K40)</f>
        <v/>
      </c>
      <c r="M41" s="4">
        <f>IF(L41="","",IF(L41=0,"repeat",IF(ABS(L41)&lt;=2,"step","leap")))</f>
        <v/>
      </c>
      <c r="N41" s="4">
        <f>IF(F41&lt;&gt;F40,"Y","")</f>
        <v/>
      </c>
      <c r="O41" s="5" t="inlineStr">
        <is>
          <t>N</t>
        </is>
      </c>
      <c r="P41" s="5" t="inlineStr">
        <is>
          <t>u</t>
        </is>
      </c>
      <c r="Q41" s="5" t="inlineStr">
        <is>
          <t>open</t>
        </is>
      </c>
      <c r="R41" s="6" t="n"/>
      <c r="S41" s="4" t="n"/>
      <c r="T41" s="4" t="n"/>
      <c r="U41" s="7" t="inlineStr"/>
    </row>
    <row r="42">
      <c r="A42" s="4" t="inlineStr">
        <is>
          <t>refrain</t>
        </is>
      </c>
      <c r="B42" s="4" t="inlineStr">
        <is>
          <t>cry1</t>
        </is>
      </c>
      <c r="C42" s="4" t="inlineStr">
        <is>
          <t>lead</t>
        </is>
      </c>
      <c r="D42" s="4" t="n">
        <v>1</v>
      </c>
      <c r="E42" s="4" t="n">
        <v>1.5</v>
      </c>
      <c r="F42" s="4" t="inlineStr">
        <is>
          <t>I</t>
        </is>
      </c>
      <c r="G42" s="4" t="inlineStr">
        <is>
          <t>A</t>
        </is>
      </c>
      <c r="H42" s="4" t="inlineStr">
        <is>
          <t>T</t>
        </is>
      </c>
      <c r="I42" s="4" t="inlineStr">
        <is>
          <t>3</t>
        </is>
      </c>
      <c r="J42" s="4" t="inlineStr">
        <is>
          <t>C#4</t>
        </is>
      </c>
      <c r="K42" s="4" t="n">
        <v>4</v>
      </c>
      <c r="L42" s="4">
        <f>IF(OR(C42&lt;&gt;C41,K42="",K41=""),"",K42-K41)</f>
        <v/>
      </c>
      <c r="M42" s="4">
        <f>IF(L42="","",IF(L42=0,"repeat",IF(ABS(L42)&lt;=2,"step","leap")))</f>
        <v/>
      </c>
      <c r="N42" s="4">
        <f>IF(F42&lt;&gt;F41,"Y","")</f>
        <v/>
      </c>
      <c r="O42" s="5" t="inlineStr">
        <is>
          <t>Y</t>
        </is>
      </c>
      <c r="P42" s="5" t="inlineStr">
        <is>
          <t>u</t>
        </is>
      </c>
      <c r="Q42" s="5" t="inlineStr">
        <is>
          <t>open</t>
        </is>
      </c>
      <c r="R42" s="6" t="n"/>
      <c r="S42" s="4" t="n"/>
      <c r="T42" s="4" t="n"/>
      <c r="U42" s="7" t="inlineStr"/>
    </row>
    <row r="43">
      <c r="A43" s="4" t="inlineStr">
        <is>
          <t>refrain</t>
        </is>
      </c>
      <c r="B43" s="4" t="inlineStr">
        <is>
          <t>cry1</t>
        </is>
      </c>
      <c r="C43" s="4" t="inlineStr">
        <is>
          <t>lead</t>
        </is>
      </c>
      <c r="D43" s="4" t="n">
        <v>1</v>
      </c>
      <c r="E43" s="4" t="n">
        <v>1.75</v>
      </c>
      <c r="F43" s="4" t="inlineStr">
        <is>
          <t>I</t>
        </is>
      </c>
      <c r="G43" s="4" t="inlineStr">
        <is>
          <t>A</t>
        </is>
      </c>
      <c r="H43" s="4" t="inlineStr">
        <is>
          <t>T</t>
        </is>
      </c>
      <c r="I43" s="4" t="inlineStr">
        <is>
          <t>2</t>
        </is>
      </c>
      <c r="J43" s="4" t="inlineStr">
        <is>
          <t>B3</t>
        </is>
      </c>
      <c r="K43" s="4" t="n">
        <v>2</v>
      </c>
      <c r="L43" s="4">
        <f>IF(OR(C43&lt;&gt;C42,K43="",K42=""),"",K43-K42)</f>
        <v/>
      </c>
      <c r="M43" s="4">
        <f>IF(L43="","",IF(L43=0,"repeat",IF(ABS(L43)&lt;=2,"step","leap")))</f>
        <v/>
      </c>
      <c r="N43" s="4">
        <f>IF(F43&lt;&gt;F42,"Y","")</f>
        <v/>
      </c>
      <c r="O43" s="5" t="inlineStr">
        <is>
          <t>N</t>
        </is>
      </c>
      <c r="P43" s="5" t="inlineStr">
        <is>
          <t>u</t>
        </is>
      </c>
      <c r="Q43" s="5" t="inlineStr">
        <is>
          <t>closed</t>
        </is>
      </c>
      <c r="R43" s="6" t="n"/>
      <c r="S43" s="4" t="n"/>
      <c r="T43" s="4" t="n"/>
      <c r="U43" s="7" t="inlineStr">
        <is>
          <t>syllable change inside the fall</t>
        </is>
      </c>
    </row>
    <row r="44">
      <c r="A44" s="4" t="inlineStr">
        <is>
          <t>refrain</t>
        </is>
      </c>
      <c r="B44" s="4" t="inlineStr">
        <is>
          <t>cry1</t>
        </is>
      </c>
      <c r="C44" s="4" t="inlineStr">
        <is>
          <t>lead</t>
        </is>
      </c>
      <c r="D44" s="4" t="n">
        <v>1</v>
      </c>
      <c r="E44" s="4" t="n">
        <v>2</v>
      </c>
      <c r="F44" s="4" t="inlineStr">
        <is>
          <t>I</t>
        </is>
      </c>
      <c r="G44" s="4" t="inlineStr">
        <is>
          <t>A</t>
        </is>
      </c>
      <c r="H44" s="4" t="inlineStr">
        <is>
          <t>T</t>
        </is>
      </c>
      <c r="I44" s="4" t="inlineStr">
        <is>
          <t>1</t>
        </is>
      </c>
      <c r="J44" s="4" t="inlineStr">
        <is>
          <t>A3</t>
        </is>
      </c>
      <c r="K44" s="4" t="n">
        <v>0</v>
      </c>
      <c r="L44" s="4">
        <f>IF(OR(C44&lt;&gt;C43,K44="",K43=""),"",K44-K43)</f>
        <v/>
      </c>
      <c r="M44" s="4">
        <f>IF(L44="","",IF(L44=0,"repeat",IF(ABS(L44)&lt;=2,"step","leap")))</f>
        <v/>
      </c>
      <c r="N44" s="4">
        <f>IF(F44&lt;&gt;F43,"Y","")</f>
        <v/>
      </c>
      <c r="O44" s="5" t="inlineStr">
        <is>
          <t>Y</t>
        </is>
      </c>
      <c r="P44" s="5" t="inlineStr">
        <is>
          <t>u</t>
        </is>
      </c>
      <c r="Q44" s="5" t="inlineStr">
        <is>
          <t>closed</t>
        </is>
      </c>
      <c r="R44" s="6" t="n"/>
      <c r="S44" s="4" t="n"/>
      <c r="T44" s="4" t="n"/>
      <c r="U44" s="7" t="inlineStr">
        <is>
          <t>quarter; full melodic close on the tonic. Corpus refrain has V(D) before I - score jumps bIII-bIII-IV-IV straight to I; trusted score</t>
        </is>
      </c>
    </row>
    <row r="45">
      <c r="A45" s="4" t="inlineStr">
        <is>
          <t>refrain</t>
        </is>
      </c>
      <c r="B45" s="4" t="inlineStr">
        <is>
          <t>cry1</t>
        </is>
      </c>
      <c r="C45" s="4" t="inlineStr">
        <is>
          <t>lead</t>
        </is>
      </c>
      <c r="D45" s="4" t="n">
        <v>1</v>
      </c>
      <c r="E45" s="4" t="n">
        <v>4.5</v>
      </c>
      <c r="F45" s="4" t="inlineStr">
        <is>
          <t>I</t>
        </is>
      </c>
      <c r="G45" s="4" t="inlineStr">
        <is>
          <t>A</t>
        </is>
      </c>
      <c r="H45" s="4" t="inlineStr">
        <is>
          <t>T</t>
        </is>
      </c>
      <c r="I45" s="4" t="inlineStr">
        <is>
          <t>2</t>
        </is>
      </c>
      <c r="J45" s="4" t="inlineStr">
        <is>
          <t>B3</t>
        </is>
      </c>
      <c r="K45" s="4" t="n">
        <v>2</v>
      </c>
      <c r="L45" s="4">
        <f>IF(OR(C45&lt;&gt;C44,K45="",K44=""),"",K45-K44)</f>
        <v/>
      </c>
      <c r="M45" s="4">
        <f>IF(L45="","",IF(L45=0,"repeat",IF(ABS(L45)&lt;=2,"step","leap")))</f>
        <v/>
      </c>
      <c r="N45" s="4">
        <f>IF(F45&lt;&gt;F44,"Y","")</f>
        <v/>
      </c>
      <c r="O45" s="5" t="inlineStr">
        <is>
          <t>N</t>
        </is>
      </c>
      <c r="P45" s="5" t="inlineStr">
        <is>
          <t>u</t>
        </is>
      </c>
      <c r="Q45" s="5" t="inlineStr">
        <is>
          <t>open</t>
        </is>
      </c>
      <c r="R45" s="6" t="n"/>
      <c r="S45" s="4" t="n"/>
      <c r="T45" s="4" t="n"/>
      <c r="U45" s="7" t="inlineStr">
        <is>
          <t>pickup 8th, sung on repeat/D.S. passes only (approx)</t>
        </is>
      </c>
    </row>
    <row r="46">
      <c r="A46" s="4" t="inlineStr">
        <is>
          <t>verse_var</t>
        </is>
      </c>
      <c r="B46" s="4" t="inlineStr">
        <is>
          <t>VV1</t>
        </is>
      </c>
      <c r="C46" s="4" t="inlineStr">
        <is>
          <t>lead</t>
        </is>
      </c>
      <c r="D46" s="4" t="n">
        <v>1</v>
      </c>
      <c r="E46" s="4" t="n">
        <v>1</v>
      </c>
      <c r="F46" s="4" t="inlineStr">
        <is>
          <t>I</t>
        </is>
      </c>
      <c r="G46" s="4" t="inlineStr">
        <is>
          <t>A</t>
        </is>
      </c>
      <c r="H46" s="4" t="inlineStr">
        <is>
          <t>T</t>
        </is>
      </c>
      <c r="I46" s="4" t="inlineStr">
        <is>
          <t>5</t>
        </is>
      </c>
      <c r="J46" s="4" t="inlineStr">
        <is>
          <t>E4</t>
        </is>
      </c>
      <c r="K46" s="4" t="n">
        <v>7</v>
      </c>
      <c r="L46" s="4">
        <f>IF(OR(C46&lt;&gt;C45,K46="",K45=""),"",K46-K45)</f>
        <v/>
      </c>
      <c r="M46" s="4">
        <f>IF(L46="","",IF(L46=0,"repeat",IF(ABS(L46)&lt;=2,"step","leap")))</f>
        <v/>
      </c>
      <c r="N46" s="4">
        <f>IF(F46&lt;&gt;F45,"Y","")</f>
        <v/>
      </c>
      <c r="O46" s="5" t="inlineStr">
        <is>
          <t>Y</t>
        </is>
      </c>
      <c r="P46" s="5" t="inlineStr">
        <is>
          <t>S</t>
        </is>
      </c>
      <c r="Q46" s="5" t="inlineStr">
        <is>
          <t>closed</t>
        </is>
      </c>
      <c r="R46" s="6" t="n"/>
      <c r="S46" s="4" t="n"/>
      <c r="T46" s="4" t="n"/>
      <c r="U46" s="7" t="inlineStr">
        <is>
          <t>same chant plan as verse 1, denser words</t>
        </is>
      </c>
    </row>
    <row r="47">
      <c r="A47" s="4" t="inlineStr">
        <is>
          <t>verse_var</t>
        </is>
      </c>
      <c r="B47" s="4" t="inlineStr">
        <is>
          <t>VV1</t>
        </is>
      </c>
      <c r="C47" s="4" t="inlineStr">
        <is>
          <t>lead</t>
        </is>
      </c>
      <c r="D47" s="4" t="n">
        <v>1</v>
      </c>
      <c r="E47" s="4" t="n">
        <v>1.5</v>
      </c>
      <c r="F47" s="4" t="inlineStr">
        <is>
          <t>I</t>
        </is>
      </c>
      <c r="G47" s="4" t="inlineStr">
        <is>
          <t>A</t>
        </is>
      </c>
      <c r="H47" s="4" t="inlineStr">
        <is>
          <t>T</t>
        </is>
      </c>
      <c r="I47" s="4" t="inlineStr">
        <is>
          <t>#4</t>
        </is>
      </c>
      <c r="J47" s="4" t="inlineStr">
        <is>
          <t>D#4</t>
        </is>
      </c>
      <c r="K47" s="4" t="n">
        <v>6</v>
      </c>
      <c r="L47" s="4">
        <f>IF(OR(C47&lt;&gt;C46,K47="",K46=""),"",K47-K46)</f>
        <v/>
      </c>
      <c r="M47" s="4">
        <f>IF(L47="","",IF(L47=0,"repeat",IF(ABS(L47)&lt;=2,"step","leap")))</f>
        <v/>
      </c>
      <c r="N47" s="4">
        <f>IF(F47&lt;&gt;F46,"Y","")</f>
        <v/>
      </c>
      <c r="O47" s="5" t="inlineStr">
        <is>
          <t>N</t>
        </is>
      </c>
      <c r="P47" s="5" t="inlineStr">
        <is>
          <t>u</t>
        </is>
      </c>
      <c r="Q47" s="5" t="inlineStr">
        <is>
          <t>closed</t>
        </is>
      </c>
      <c r="R47" s="6" t="n"/>
      <c r="S47" s="4" t="n"/>
      <c r="T47" s="4" t="n"/>
      <c r="U47" s="7" t="inlineStr">
        <is>
          <t>engraved sharp</t>
        </is>
      </c>
    </row>
    <row r="48">
      <c r="A48" s="4" t="inlineStr">
        <is>
          <t>verse_var</t>
        </is>
      </c>
      <c r="B48" s="4" t="inlineStr">
        <is>
          <t>VV1</t>
        </is>
      </c>
      <c r="C48" s="4" t="inlineStr">
        <is>
          <t>lead</t>
        </is>
      </c>
      <c r="D48" s="4" t="n">
        <v>1</v>
      </c>
      <c r="E48" s="4" t="n">
        <v>2</v>
      </c>
      <c r="F48" s="4" t="inlineStr">
        <is>
          <t>I</t>
        </is>
      </c>
      <c r="G48" s="4" t="inlineStr">
        <is>
          <t>A</t>
        </is>
      </c>
      <c r="H48" s="4" t="inlineStr">
        <is>
          <t>T</t>
        </is>
      </c>
      <c r="I48" s="4" t="inlineStr">
        <is>
          <t>5</t>
        </is>
      </c>
      <c r="J48" s="4" t="inlineStr">
        <is>
          <t>E4</t>
        </is>
      </c>
      <c r="K48" s="4" t="n">
        <v>7</v>
      </c>
      <c r="L48" s="4">
        <f>IF(OR(C48&lt;&gt;C47,K48="",K47=""),"",K48-K47)</f>
        <v/>
      </c>
      <c r="M48" s="4">
        <f>IF(L48="","",IF(L48=0,"repeat",IF(ABS(L48)&lt;=2,"step","leap")))</f>
        <v/>
      </c>
      <c r="N48" s="4">
        <f>IF(F48&lt;&gt;F47,"Y","")</f>
        <v/>
      </c>
      <c r="O48" s="5" t="inlineStr">
        <is>
          <t>Y</t>
        </is>
      </c>
      <c r="P48" s="5" t="inlineStr">
        <is>
          <t>u</t>
        </is>
      </c>
      <c r="Q48" s="5" t="inlineStr">
        <is>
          <t>open</t>
        </is>
      </c>
      <c r="R48" s="6" t="n"/>
      <c r="S48" s="4" t="n"/>
      <c r="T48" s="4" t="n"/>
      <c r="U48" s="7" t="inlineStr"/>
    </row>
    <row r="49">
      <c r="A49" s="4" t="inlineStr">
        <is>
          <t>verse_var</t>
        </is>
      </c>
      <c r="B49" s="4" t="inlineStr">
        <is>
          <t>VV1</t>
        </is>
      </c>
      <c r="C49" s="4" t="inlineStr">
        <is>
          <t>lead</t>
        </is>
      </c>
      <c r="D49" s="4" t="n">
        <v>1</v>
      </c>
      <c r="E49" s="4" t="n">
        <v>2.5</v>
      </c>
      <c r="F49" s="4" t="inlineStr">
        <is>
          <t>I</t>
        </is>
      </c>
      <c r="G49" s="4" t="inlineStr">
        <is>
          <t>A</t>
        </is>
      </c>
      <c r="H49" s="4" t="inlineStr">
        <is>
          <t>T</t>
        </is>
      </c>
      <c r="I49" s="4" t="inlineStr">
        <is>
          <t>5</t>
        </is>
      </c>
      <c r="J49" s="4" t="inlineStr">
        <is>
          <t>E4</t>
        </is>
      </c>
      <c r="K49" s="4" t="n">
        <v>7</v>
      </c>
      <c r="L49" s="4">
        <f>IF(OR(C49&lt;&gt;C48,K49="",K48=""),"",K49-K48)</f>
        <v/>
      </c>
      <c r="M49" s="4">
        <f>IF(L49="","",IF(L49=0,"repeat",IF(ABS(L49)&lt;=2,"step","leap")))</f>
        <v/>
      </c>
      <c r="N49" s="4">
        <f>IF(F49&lt;&gt;F48,"Y","")</f>
        <v/>
      </c>
      <c r="O49" s="5" t="inlineStr">
        <is>
          <t>Y</t>
        </is>
      </c>
      <c r="P49" s="5" t="inlineStr">
        <is>
          <t>u</t>
        </is>
      </c>
      <c r="Q49" s="5" t="inlineStr">
        <is>
          <t>open</t>
        </is>
      </c>
      <c r="R49" s="6" t="n"/>
      <c r="S49" s="4" t="n"/>
      <c r="T49" s="4" t="n"/>
      <c r="U49" s="7" t="inlineStr"/>
    </row>
    <row r="50">
      <c r="A50" s="4" t="inlineStr">
        <is>
          <t>verse_var</t>
        </is>
      </c>
      <c r="B50" s="4" t="inlineStr">
        <is>
          <t>VV1</t>
        </is>
      </c>
      <c r="C50" s="4" t="inlineStr">
        <is>
          <t>lead</t>
        </is>
      </c>
      <c r="D50" s="4" t="n">
        <v>1</v>
      </c>
      <c r="E50" s="4" t="n">
        <v>3</v>
      </c>
      <c r="F50" s="4" t="inlineStr">
        <is>
          <t>I</t>
        </is>
      </c>
      <c r="G50" s="4" t="inlineStr">
        <is>
          <t>A</t>
        </is>
      </c>
      <c r="H50" s="4" t="inlineStr">
        <is>
          <t>T</t>
        </is>
      </c>
      <c r="I50" s="4" t="inlineStr">
        <is>
          <t>5</t>
        </is>
      </c>
      <c r="J50" s="4" t="inlineStr">
        <is>
          <t>E4</t>
        </is>
      </c>
      <c r="K50" s="4" t="n">
        <v>7</v>
      </c>
      <c r="L50" s="4">
        <f>IF(OR(C50&lt;&gt;C49,K50="",K49=""),"",K50-K49)</f>
        <v/>
      </c>
      <c r="M50" s="4">
        <f>IF(L50="","",IF(L50=0,"repeat",IF(ABS(L50)&lt;=2,"step","leap")))</f>
        <v/>
      </c>
      <c r="N50" s="4">
        <f>IF(F50&lt;&gt;F49,"Y","")</f>
        <v/>
      </c>
      <c r="O50" s="5" t="inlineStr">
        <is>
          <t>Y</t>
        </is>
      </c>
      <c r="P50" s="5" t="inlineStr">
        <is>
          <t>S</t>
        </is>
      </c>
      <c r="Q50" s="5" t="inlineStr">
        <is>
          <t>open</t>
        </is>
      </c>
      <c r="R50" s="6" t="n"/>
      <c r="S50" s="4" t="n"/>
      <c r="T50" s="4" t="n"/>
      <c r="U50" s="7" t="inlineStr"/>
    </row>
    <row r="51">
      <c r="A51" s="4" t="inlineStr">
        <is>
          <t>verse_var</t>
        </is>
      </c>
      <c r="B51" s="4" t="inlineStr">
        <is>
          <t>VV1</t>
        </is>
      </c>
      <c r="C51" s="4" t="inlineStr">
        <is>
          <t>lead</t>
        </is>
      </c>
      <c r="D51" s="4" t="n">
        <v>1</v>
      </c>
      <c r="E51" s="4" t="n">
        <v>3.5</v>
      </c>
      <c r="F51" s="4" t="inlineStr">
        <is>
          <t>I</t>
        </is>
      </c>
      <c r="G51" s="4" t="inlineStr">
        <is>
          <t>A</t>
        </is>
      </c>
      <c r="H51" s="4" t="inlineStr">
        <is>
          <t>T</t>
        </is>
      </c>
      <c r="I51" s="4" t="inlineStr">
        <is>
          <t>5</t>
        </is>
      </c>
      <c r="J51" s="4" t="inlineStr">
        <is>
          <t>E4</t>
        </is>
      </c>
      <c r="K51" s="4" t="n">
        <v>7</v>
      </c>
      <c r="L51" s="4">
        <f>IF(OR(C51&lt;&gt;C50,K51="",K50=""),"",K51-K50)</f>
        <v/>
      </c>
      <c r="M51" s="4">
        <f>IF(L51="","",IF(L51=0,"repeat",IF(ABS(L51)&lt;=2,"step","leap")))</f>
        <v/>
      </c>
      <c r="N51" s="4">
        <f>IF(F51&lt;&gt;F50,"Y","")</f>
        <v/>
      </c>
      <c r="O51" s="5" t="inlineStr">
        <is>
          <t>Y</t>
        </is>
      </c>
      <c r="P51" s="5" t="inlineStr">
        <is>
          <t>u</t>
        </is>
      </c>
      <c r="Q51" s="5" t="inlineStr">
        <is>
          <t>open</t>
        </is>
      </c>
      <c r="R51" s="6" t="n"/>
      <c r="S51" s="4" t="n"/>
      <c r="T51" s="4" t="n"/>
      <c r="U51" s="7" t="inlineStr">
        <is>
          <t>approx - possibly dips to 4. Bars 2 (I/b7, horn fill) and 3 (IV9/6) vocal tacet</t>
        </is>
      </c>
    </row>
    <row r="52">
      <c r="A52" s="4" t="inlineStr">
        <is>
          <t>verse_var</t>
        </is>
      </c>
      <c r="B52" s="4" t="inlineStr">
        <is>
          <t>VV2</t>
        </is>
      </c>
      <c r="C52" s="4" t="inlineStr">
        <is>
          <t>lead</t>
        </is>
      </c>
      <c r="D52" s="4" t="n">
        <v>4</v>
      </c>
      <c r="E52" s="4" t="n">
        <v>1</v>
      </c>
      <c r="F52" s="4" t="inlineStr">
        <is>
          <t>bVI</t>
        </is>
      </c>
      <c r="G52" s="4" t="inlineStr">
        <is>
          <t>F</t>
        </is>
      </c>
      <c r="H52" s="4" t="inlineStr">
        <is>
          <t>T</t>
        </is>
      </c>
      <c r="I52" s="4" t="inlineStr">
        <is>
          <t>5</t>
        </is>
      </c>
      <c r="J52" s="4" t="inlineStr">
        <is>
          <t>E4</t>
        </is>
      </c>
      <c r="K52" s="4" t="n">
        <v>7</v>
      </c>
      <c r="L52" s="4">
        <f>IF(OR(C52&lt;&gt;C51,K52="",K51=""),"",K52-K51)</f>
        <v/>
      </c>
      <c r="M52" s="4">
        <f>IF(L52="","",IF(L52=0,"repeat",IF(ABS(L52)&lt;=2,"step","leap")))</f>
        <v/>
      </c>
      <c r="N52" s="4">
        <f>IF(F52&lt;&gt;F51,"Y","")</f>
        <v/>
      </c>
      <c r="O52" s="5" t="inlineStr">
        <is>
          <t>N</t>
        </is>
      </c>
      <c r="P52" s="5" t="inlineStr">
        <is>
          <t>S</t>
        </is>
      </c>
      <c r="Q52" s="5" t="inlineStr">
        <is>
          <t>open</t>
        </is>
      </c>
      <c r="R52" s="6" t="n"/>
      <c r="S52" s="4" t="n"/>
      <c r="T52" s="4" t="n"/>
      <c r="U52" s="7" t="inlineStr">
        <is>
          <t>bar splits F (beats 1-2) and G (3-4). Corpus hears vi7 then bVI-bVII here; score D9/F#-F-G shares the same bass line - trusted score, noted</t>
        </is>
      </c>
    </row>
    <row r="53">
      <c r="A53" s="4" t="inlineStr">
        <is>
          <t>verse_var</t>
        </is>
      </c>
      <c r="B53" s="4" t="inlineStr">
        <is>
          <t>VV2</t>
        </is>
      </c>
      <c r="C53" s="4" t="inlineStr">
        <is>
          <t>lead</t>
        </is>
      </c>
      <c r="D53" s="4" t="n">
        <v>4</v>
      </c>
      <c r="E53" s="4" t="n">
        <v>1.5</v>
      </c>
      <c r="F53" s="4" t="inlineStr">
        <is>
          <t>bVI</t>
        </is>
      </c>
      <c r="G53" s="4" t="inlineStr">
        <is>
          <t>F</t>
        </is>
      </c>
      <c r="H53" s="4" t="inlineStr">
        <is>
          <t>T</t>
        </is>
      </c>
      <c r="I53" s="4" t="inlineStr">
        <is>
          <t>5</t>
        </is>
      </c>
      <c r="J53" s="4" t="inlineStr">
        <is>
          <t>E4</t>
        </is>
      </c>
      <c r="K53" s="4" t="n">
        <v>7</v>
      </c>
      <c r="L53" s="4">
        <f>IF(OR(C53&lt;&gt;C52,K53="",K52=""),"",K53-K52)</f>
        <v/>
      </c>
      <c r="M53" s="4">
        <f>IF(L53="","",IF(L53=0,"repeat",IF(ABS(L53)&lt;=2,"step","leap")))</f>
        <v/>
      </c>
      <c r="N53" s="4">
        <f>IF(F53&lt;&gt;F52,"Y","")</f>
        <v/>
      </c>
      <c r="O53" s="5" t="inlineStr">
        <is>
          <t>N</t>
        </is>
      </c>
      <c r="P53" s="5" t="inlineStr">
        <is>
          <t>u</t>
        </is>
      </c>
      <c r="Q53" s="5" t="inlineStr">
        <is>
          <t>closed</t>
        </is>
      </c>
      <c r="R53" s="6" t="n"/>
      <c r="S53" s="4" t="n"/>
      <c r="T53" s="4" t="n"/>
      <c r="U53" s="7" t="inlineStr">
        <is>
          <t>chant note = maj7 of bVI - held rub</t>
        </is>
      </c>
    </row>
    <row r="54">
      <c r="A54" s="4" t="inlineStr">
        <is>
          <t>verse_var</t>
        </is>
      </c>
      <c r="B54" s="4" t="inlineStr">
        <is>
          <t>VV2</t>
        </is>
      </c>
      <c r="C54" s="4" t="inlineStr">
        <is>
          <t>lead</t>
        </is>
      </c>
      <c r="D54" s="4" t="n">
        <v>4</v>
      </c>
      <c r="E54" s="4" t="n">
        <v>2</v>
      </c>
      <c r="F54" s="4" t="inlineStr">
        <is>
          <t>bVI</t>
        </is>
      </c>
      <c r="G54" s="4" t="inlineStr">
        <is>
          <t>F</t>
        </is>
      </c>
      <c r="H54" s="4" t="inlineStr">
        <is>
          <t>T</t>
        </is>
      </c>
      <c r="I54" s="4" t="inlineStr">
        <is>
          <t>5</t>
        </is>
      </c>
      <c r="J54" s="4" t="inlineStr">
        <is>
          <t>E4</t>
        </is>
      </c>
      <c r="K54" s="4" t="n">
        <v>7</v>
      </c>
      <c r="L54" s="4">
        <f>IF(OR(C54&lt;&gt;C53,K54="",K53=""),"",K54-K53)</f>
        <v/>
      </c>
      <c r="M54" s="4">
        <f>IF(L54="","",IF(L54=0,"repeat",IF(ABS(L54)&lt;=2,"step","leap")))</f>
        <v/>
      </c>
      <c r="N54" s="4">
        <f>IF(F54&lt;&gt;F53,"Y","")</f>
        <v/>
      </c>
      <c r="O54" s="5" t="inlineStr">
        <is>
          <t>N</t>
        </is>
      </c>
      <c r="P54" s="5" t="inlineStr">
        <is>
          <t>u</t>
        </is>
      </c>
      <c r="Q54" s="5" t="inlineStr">
        <is>
          <t>open</t>
        </is>
      </c>
      <c r="R54" s="6" t="n"/>
      <c r="S54" s="4" t="n"/>
      <c r="T54" s="4" t="n"/>
      <c r="U54" s="7" t="inlineStr"/>
    </row>
    <row r="55">
      <c r="A55" s="4" t="inlineStr">
        <is>
          <t>verse_var</t>
        </is>
      </c>
      <c r="B55" s="4" t="inlineStr">
        <is>
          <t>VV2</t>
        </is>
      </c>
      <c r="C55" s="4" t="inlineStr">
        <is>
          <t>lead</t>
        </is>
      </c>
      <c r="D55" s="4" t="n">
        <v>4</v>
      </c>
      <c r="E55" s="4" t="n">
        <v>2.5</v>
      </c>
      <c r="F55" s="4" t="inlineStr">
        <is>
          <t>bVI</t>
        </is>
      </c>
      <c r="G55" s="4" t="inlineStr">
        <is>
          <t>F</t>
        </is>
      </c>
      <c r="H55" s="4" t="inlineStr">
        <is>
          <t>T</t>
        </is>
      </c>
      <c r="I55" s="4" t="inlineStr">
        <is>
          <t>5</t>
        </is>
      </c>
      <c r="J55" s="4" t="inlineStr">
        <is>
          <t>E4</t>
        </is>
      </c>
      <c r="K55" s="4" t="n">
        <v>7</v>
      </c>
      <c r="L55" s="4">
        <f>IF(OR(C55&lt;&gt;C54,K55="",K54=""),"",K55-K54)</f>
        <v/>
      </c>
      <c r="M55" s="4">
        <f>IF(L55="","",IF(L55=0,"repeat",IF(ABS(L55)&lt;=2,"step","leap")))</f>
        <v/>
      </c>
      <c r="N55" s="4">
        <f>IF(F55&lt;&gt;F54,"Y","")</f>
        <v/>
      </c>
      <c r="O55" s="5" t="inlineStr">
        <is>
          <t>N</t>
        </is>
      </c>
      <c r="P55" s="5" t="inlineStr">
        <is>
          <t>u</t>
        </is>
      </c>
      <c r="Q55" s="5" t="inlineStr">
        <is>
          <t>open</t>
        </is>
      </c>
      <c r="R55" s="6" t="n"/>
      <c r="S55" s="4" t="n"/>
      <c r="T55" s="4" t="n"/>
      <c r="U55" s="7" t="inlineStr"/>
    </row>
    <row r="56">
      <c r="A56" s="4" t="inlineStr">
        <is>
          <t>verse_var</t>
        </is>
      </c>
      <c r="B56" s="4" t="inlineStr">
        <is>
          <t>VV2</t>
        </is>
      </c>
      <c r="C56" s="4" t="inlineStr">
        <is>
          <t>lead</t>
        </is>
      </c>
      <c r="D56" s="4" t="n">
        <v>4</v>
      </c>
      <c r="E56" s="4" t="n">
        <v>3</v>
      </c>
      <c r="F56" s="4" t="inlineStr">
        <is>
          <t>bVII</t>
        </is>
      </c>
      <c r="G56" s="4" t="inlineStr">
        <is>
          <t>G</t>
        </is>
      </c>
      <c r="H56" s="4" t="inlineStr">
        <is>
          <t>T</t>
        </is>
      </c>
      <c r="I56" s="4" t="inlineStr">
        <is>
          <t>b7</t>
        </is>
      </c>
      <c r="J56" s="4" t="inlineStr">
        <is>
          <t>G4</t>
        </is>
      </c>
      <c r="K56" s="4" t="n">
        <v>10</v>
      </c>
      <c r="L56" s="4">
        <f>IF(OR(C56&lt;&gt;C55,K56="",K55=""),"",K56-K55)</f>
        <v/>
      </c>
      <c r="M56" s="4">
        <f>IF(L56="","",IF(L56=0,"repeat",IF(ABS(L56)&lt;=2,"step","leap")))</f>
        <v/>
      </c>
      <c r="N56" s="4">
        <f>IF(F56&lt;&gt;F55,"Y","")</f>
        <v/>
      </c>
      <c r="O56" s="5" t="inlineStr">
        <is>
          <t>Y</t>
        </is>
      </c>
      <c r="P56" s="5" t="inlineStr">
        <is>
          <t>S</t>
        </is>
      </c>
      <c r="Q56" s="5" t="inlineStr">
        <is>
          <t>open</t>
        </is>
      </c>
      <c r="R56" s="6" t="n"/>
      <c r="S56" s="4" t="n"/>
      <c r="T56" s="4" t="n"/>
      <c r="U56" s="7" t="inlineStr">
        <is>
          <t>engraved NATURAL: leap to b7, the melodic peak of the verse - root of bVII</t>
        </is>
      </c>
    </row>
    <row r="57">
      <c r="A57" s="4" t="inlineStr">
        <is>
          <t>verse_var</t>
        </is>
      </c>
      <c r="B57" s="4" t="inlineStr">
        <is>
          <t>VV2</t>
        </is>
      </c>
      <c r="C57" s="4" t="inlineStr">
        <is>
          <t>lead</t>
        </is>
      </c>
      <c r="D57" s="4" t="n">
        <v>4</v>
      </c>
      <c r="E57" s="4" t="n">
        <v>3.5</v>
      </c>
      <c r="F57" s="4" t="inlineStr">
        <is>
          <t>bVII</t>
        </is>
      </c>
      <c r="G57" s="4" t="inlineStr">
        <is>
          <t>G</t>
        </is>
      </c>
      <c r="H57" s="4" t="inlineStr">
        <is>
          <t>T</t>
        </is>
      </c>
      <c r="I57" s="4" t="inlineStr">
        <is>
          <t>6</t>
        </is>
      </c>
      <c r="J57" s="4" t="inlineStr">
        <is>
          <t>F#4</t>
        </is>
      </c>
      <c r="K57" s="4" t="n">
        <v>9</v>
      </c>
      <c r="L57" s="4">
        <f>IF(OR(C57&lt;&gt;C56,K57="",K56=""),"",K57-K56)</f>
        <v/>
      </c>
      <c r="M57" s="4">
        <f>IF(L57="","",IF(L57=0,"repeat",IF(ABS(L57)&lt;=2,"step","leap")))</f>
        <v/>
      </c>
      <c r="N57" s="4">
        <f>IF(F57&lt;&gt;F56,"Y","")</f>
        <v/>
      </c>
      <c r="O57" s="5" t="inlineStr">
        <is>
          <t>N</t>
        </is>
      </c>
      <c r="P57" s="5" t="inlineStr">
        <is>
          <t>u</t>
        </is>
      </c>
      <c r="Q57" s="5" t="inlineStr">
        <is>
          <t>closed</t>
        </is>
      </c>
      <c r="R57" s="6" t="n"/>
      <c r="S57" s="4" t="n"/>
      <c r="T57" s="4" t="n"/>
      <c r="U57" s="7" t="inlineStr">
        <is>
          <t>approx (could repeat b7)</t>
        </is>
      </c>
    </row>
    <row r="58">
      <c r="A58" s="4" t="inlineStr">
        <is>
          <t>verse_var</t>
        </is>
      </c>
      <c r="B58" s="4" t="inlineStr">
        <is>
          <t>VV2</t>
        </is>
      </c>
      <c r="C58" s="4" t="inlineStr">
        <is>
          <t>lead</t>
        </is>
      </c>
      <c r="D58" s="4" t="n">
        <v>4</v>
      </c>
      <c r="E58" s="4" t="n">
        <v>4.5</v>
      </c>
      <c r="F58" s="4" t="inlineStr">
        <is>
          <t>bVII</t>
        </is>
      </c>
      <c r="G58" s="4" t="inlineStr">
        <is>
          <t>G</t>
        </is>
      </c>
      <c r="H58" s="4" t="inlineStr">
        <is>
          <t>T</t>
        </is>
      </c>
      <c r="I58" s="4" t="inlineStr">
        <is>
          <t>6</t>
        </is>
      </c>
      <c r="J58" s="4" t="inlineStr">
        <is>
          <t>F#4</t>
        </is>
      </c>
      <c r="K58" s="4" t="n">
        <v>9</v>
      </c>
      <c r="L58" s="4">
        <f>IF(OR(C58&lt;&gt;C57,K58="",K57=""),"",K58-K57)</f>
        <v/>
      </c>
      <c r="M58" s="4">
        <f>IF(L58="","",IF(L58=0,"repeat",IF(ABS(L58)&lt;=2,"step","leap")))</f>
        <v/>
      </c>
      <c r="N58" s="4">
        <f>IF(F58&lt;&gt;F57,"Y","")</f>
        <v/>
      </c>
      <c r="O58" s="5" t="inlineStr">
        <is>
          <t>N</t>
        </is>
      </c>
      <c r="P58" s="5" t="inlineStr">
        <is>
          <t>S</t>
        </is>
      </c>
      <c r="Q58" s="5" t="inlineStr">
        <is>
          <t>open</t>
        </is>
      </c>
      <c r="R58" s="6" t="n"/>
      <c r="S58" s="4" t="n"/>
      <c r="T58" s="4" t="n"/>
      <c r="U58" s="7" t="inlineStr">
        <is>
          <t>tied over the barline into I</t>
        </is>
      </c>
    </row>
    <row r="59">
      <c r="A59" s="4" t="inlineStr">
        <is>
          <t>verse_var</t>
        </is>
      </c>
      <c r="B59" s="4" t="inlineStr">
        <is>
          <t>VV3</t>
        </is>
      </c>
      <c r="C59" s="4" t="inlineStr">
        <is>
          <t>lead</t>
        </is>
      </c>
      <c r="D59" s="4" t="n">
        <v>5</v>
      </c>
      <c r="E59" s="4" t="n">
        <v>2</v>
      </c>
      <c r="F59" s="4" t="inlineStr">
        <is>
          <t>I</t>
        </is>
      </c>
      <c r="G59" s="4" t="inlineStr">
        <is>
          <t>A</t>
        </is>
      </c>
      <c r="H59" s="4" t="inlineStr">
        <is>
          <t>T</t>
        </is>
      </c>
      <c r="I59" s="4" t="inlineStr">
        <is>
          <t>4</t>
        </is>
      </c>
      <c r="J59" s="4" t="inlineStr">
        <is>
          <t>D4</t>
        </is>
      </c>
      <c r="K59" s="4" t="n">
        <v>5</v>
      </c>
      <c r="L59" s="4">
        <f>IF(OR(C59&lt;&gt;C58,K59="",K58=""),"",K59-K58)</f>
        <v/>
      </c>
      <c r="M59" s="4">
        <f>IF(L59="","",IF(L59=0,"repeat",IF(ABS(L59)&lt;=2,"step","leap")))</f>
        <v/>
      </c>
      <c r="N59" s="4">
        <f>IF(F59&lt;&gt;F58,"Y","")</f>
        <v/>
      </c>
      <c r="O59" s="5" t="inlineStr">
        <is>
          <t>N</t>
        </is>
      </c>
      <c r="P59" s="5" t="inlineStr">
        <is>
          <t>u</t>
        </is>
      </c>
      <c r="Q59" s="5" t="inlineStr">
        <is>
          <t>open</t>
        </is>
      </c>
      <c r="R59" s="6" t="n"/>
      <c r="S59" s="4" t="n"/>
      <c r="T59" s="4" t="n"/>
      <c r="U59" s="7" t="inlineStr">
        <is>
          <t>held-word melisma falls 6..4-3, mirroring the verse-1 close (approx)</t>
        </is>
      </c>
    </row>
    <row r="60">
      <c r="A60" s="4" t="inlineStr">
        <is>
          <t>verse_var</t>
        </is>
      </c>
      <c r="B60" s="4" t="inlineStr">
        <is>
          <t>VV3</t>
        </is>
      </c>
      <c r="C60" s="4" t="inlineStr">
        <is>
          <t>lead</t>
        </is>
      </c>
      <c r="D60" s="4" t="n">
        <v>5</v>
      </c>
      <c r="E60" s="4" t="n">
        <v>2.5</v>
      </c>
      <c r="F60" s="4" t="inlineStr">
        <is>
          <t>I</t>
        </is>
      </c>
      <c r="G60" s="4" t="inlineStr">
        <is>
          <t>A</t>
        </is>
      </c>
      <c r="H60" s="4" t="inlineStr">
        <is>
          <t>T</t>
        </is>
      </c>
      <c r="I60" s="4" t="inlineStr">
        <is>
          <t>3</t>
        </is>
      </c>
      <c r="J60" s="4" t="inlineStr">
        <is>
          <t>C#4</t>
        </is>
      </c>
      <c r="K60" s="4" t="n">
        <v>4</v>
      </c>
      <c r="L60" s="4">
        <f>IF(OR(C60&lt;&gt;C59,K60="",K59=""),"",K60-K59)</f>
        <v/>
      </c>
      <c r="M60" s="4">
        <f>IF(L60="","",IF(L60=0,"repeat",IF(ABS(L60)&lt;=2,"step","leap")))</f>
        <v/>
      </c>
      <c r="N60" s="4">
        <f>IF(F60&lt;&gt;F59,"Y","")</f>
        <v/>
      </c>
      <c r="O60" s="5" t="inlineStr">
        <is>
          <t>Y</t>
        </is>
      </c>
      <c r="P60" s="5" t="inlineStr">
        <is>
          <t>u</t>
        </is>
      </c>
      <c r="Q60" s="5" t="inlineStr">
        <is>
          <t>open</t>
        </is>
      </c>
      <c r="R60" s="6" t="n"/>
      <c r="S60" s="4" t="n"/>
      <c r="T60" s="4" t="n"/>
      <c r="U60" s="7" t="inlineStr"/>
    </row>
    <row r="61">
      <c r="A61" s="4" t="inlineStr">
        <is>
          <t>verse_var</t>
        </is>
      </c>
      <c r="B61" s="4" t="inlineStr">
        <is>
          <t>VV3</t>
        </is>
      </c>
      <c r="C61" s="4" t="inlineStr">
        <is>
          <t>lead</t>
        </is>
      </c>
      <c r="D61" s="4" t="n">
        <v>5</v>
      </c>
      <c r="E61" s="4" t="n">
        <v>4.5</v>
      </c>
      <c r="F61" s="4" t="inlineStr">
        <is>
          <t>I</t>
        </is>
      </c>
      <c r="G61" s="4" t="inlineStr">
        <is>
          <t>A</t>
        </is>
      </c>
      <c r="H61" s="4" t="inlineStr">
        <is>
          <t>T</t>
        </is>
      </c>
      <c r="I61" s="4" t="inlineStr">
        <is>
          <t>2</t>
        </is>
      </c>
      <c r="J61" s="4" t="inlineStr">
        <is>
          <t>B3</t>
        </is>
      </c>
      <c r="K61" s="4" t="n">
        <v>2</v>
      </c>
      <c r="L61" s="4">
        <f>IF(OR(C61&lt;&gt;C60,K61="",K60=""),"",K61-K60)</f>
        <v/>
      </c>
      <c r="M61" s="4">
        <f>IF(L61="","",IF(L61=0,"repeat",IF(ABS(L61)&lt;=2,"step","leap")))</f>
        <v/>
      </c>
      <c r="N61" s="4">
        <f>IF(F61&lt;&gt;F60,"Y","")</f>
        <v/>
      </c>
      <c r="O61" s="5" t="inlineStr">
        <is>
          <t>N</t>
        </is>
      </c>
      <c r="P61" s="5" t="inlineStr">
        <is>
          <t>u</t>
        </is>
      </c>
      <c r="Q61" s="5" t="inlineStr">
        <is>
          <t>open</t>
        </is>
      </c>
      <c r="R61" s="6" t="n"/>
      <c r="S61" s="4" t="n"/>
      <c r="T61" s="4" t="n"/>
      <c r="U61" s="7" t="inlineStr">
        <is>
          <t>pickup 8th into next line (approx)</t>
        </is>
      </c>
    </row>
    <row r="62">
      <c r="A62" s="4" t="inlineStr">
        <is>
          <t>verse2b</t>
        </is>
      </c>
      <c r="B62" s="4" t="inlineStr">
        <is>
          <t>C1</t>
        </is>
      </c>
      <c r="C62" s="4" t="inlineStr">
        <is>
          <t>lead</t>
        </is>
      </c>
      <c r="D62" s="4" t="n">
        <v>1</v>
      </c>
      <c r="E62" s="4" t="n">
        <v>1</v>
      </c>
      <c r="F62" s="4" t="inlineStr">
        <is>
          <t>bVI</t>
        </is>
      </c>
      <c r="G62" s="4" t="inlineStr">
        <is>
          <t>F</t>
        </is>
      </c>
      <c r="H62" s="4" t="inlineStr">
        <is>
          <t>T</t>
        </is>
      </c>
      <c r="I62" s="4" t="inlineStr">
        <is>
          <t>3</t>
        </is>
      </c>
      <c r="J62" s="4" t="inlineStr">
        <is>
          <t>C#4</t>
        </is>
      </c>
      <c r="K62" s="4" t="n">
        <v>4</v>
      </c>
      <c r="L62" s="4">
        <f>IF(OR(C62&lt;&gt;C61,K62="",K61=""),"",K62-K61)</f>
        <v/>
      </c>
      <c r="M62" s="4">
        <f>IF(L62="","",IF(L62=0,"repeat",IF(ABS(L62)&lt;=2,"step","leap")))</f>
        <v/>
      </c>
      <c r="N62" s="4">
        <f>IF(F62&lt;&gt;F61,"Y","")</f>
        <v/>
      </c>
      <c r="O62" s="5" t="inlineStr">
        <is>
          <t>N</t>
        </is>
      </c>
      <c r="P62" s="5" t="inlineStr">
        <is>
          <t>u</t>
        </is>
      </c>
      <c r="Q62" s="5" t="inlineStr">
        <is>
          <t>open</t>
        </is>
      </c>
      <c r="R62" s="6" t="n"/>
      <c r="S62" s="4" t="n"/>
      <c r="T62" s="4" t="n"/>
      <c r="U62" s="7" t="inlineStr">
        <is>
          <t>two-pitch patter chant: 3 alternating 2, syllable per 16th; 3 vs bVI = another semitone-family rub (approx pitches)</t>
        </is>
      </c>
    </row>
    <row r="63">
      <c r="A63" s="4" t="inlineStr">
        <is>
          <t>verse2b</t>
        </is>
      </c>
      <c r="B63" s="4" t="inlineStr">
        <is>
          <t>C1</t>
        </is>
      </c>
      <c r="C63" s="4" t="inlineStr">
        <is>
          <t>lead</t>
        </is>
      </c>
      <c r="D63" s="4" t="n">
        <v>1</v>
      </c>
      <c r="E63" s="4" t="n">
        <v>1.25</v>
      </c>
      <c r="F63" s="4" t="inlineStr">
        <is>
          <t>bVI</t>
        </is>
      </c>
      <c r="G63" s="4" t="inlineStr">
        <is>
          <t>F</t>
        </is>
      </c>
      <c r="H63" s="4" t="inlineStr">
        <is>
          <t>T</t>
        </is>
      </c>
      <c r="I63" s="4" t="inlineStr">
        <is>
          <t>2</t>
        </is>
      </c>
      <c r="J63" s="4" t="inlineStr">
        <is>
          <t>B3</t>
        </is>
      </c>
      <c r="K63" s="4" t="n">
        <v>2</v>
      </c>
      <c r="L63" s="4">
        <f>IF(OR(C63&lt;&gt;C62,K63="",K62=""),"",K63-K62)</f>
        <v/>
      </c>
      <c r="M63" s="4">
        <f>IF(L63="","",IF(L63=0,"repeat",IF(ABS(L63)&lt;=2,"step","leap")))</f>
        <v/>
      </c>
      <c r="N63" s="4">
        <f>IF(F63&lt;&gt;F62,"Y","")</f>
        <v/>
      </c>
      <c r="O63" s="5" t="inlineStr">
        <is>
          <t>N</t>
        </is>
      </c>
      <c r="P63" s="5" t="inlineStr">
        <is>
          <t>u</t>
        </is>
      </c>
      <c r="Q63" s="5" t="inlineStr">
        <is>
          <t>open</t>
        </is>
      </c>
      <c r="R63" s="6" t="n"/>
      <c r="S63" s="4" t="n"/>
      <c r="T63" s="4" t="n"/>
      <c r="U63" s="7" t="inlineStr"/>
    </row>
    <row r="64">
      <c r="A64" s="4" t="inlineStr">
        <is>
          <t>verse2b</t>
        </is>
      </c>
      <c r="B64" s="4" t="inlineStr">
        <is>
          <t>C1</t>
        </is>
      </c>
      <c r="C64" s="4" t="inlineStr">
        <is>
          <t>lead</t>
        </is>
      </c>
      <c r="D64" s="4" t="n">
        <v>1</v>
      </c>
      <c r="E64" s="4" t="n">
        <v>1.5</v>
      </c>
      <c r="F64" s="4" t="inlineStr">
        <is>
          <t>bVI</t>
        </is>
      </c>
      <c r="G64" s="4" t="inlineStr">
        <is>
          <t>F</t>
        </is>
      </c>
      <c r="H64" s="4" t="inlineStr">
        <is>
          <t>T</t>
        </is>
      </c>
      <c r="I64" s="4" t="inlineStr">
        <is>
          <t>3</t>
        </is>
      </c>
      <c r="J64" s="4" t="inlineStr">
        <is>
          <t>C#4</t>
        </is>
      </c>
      <c r="K64" s="4" t="n">
        <v>4</v>
      </c>
      <c r="L64" s="4">
        <f>IF(OR(C64&lt;&gt;C63,K64="",K63=""),"",K64-K63)</f>
        <v/>
      </c>
      <c r="M64" s="4">
        <f>IF(L64="","",IF(L64=0,"repeat",IF(ABS(L64)&lt;=2,"step","leap")))</f>
        <v/>
      </c>
      <c r="N64" s="4">
        <f>IF(F64&lt;&gt;F63,"Y","")</f>
        <v/>
      </c>
      <c r="O64" s="5" t="inlineStr">
        <is>
          <t>N</t>
        </is>
      </c>
      <c r="P64" s="5" t="inlineStr">
        <is>
          <t>S</t>
        </is>
      </c>
      <c r="Q64" s="5" t="inlineStr">
        <is>
          <t>open</t>
        </is>
      </c>
      <c r="R64" s="6" t="n"/>
      <c r="S64" s="4" t="n"/>
      <c r="T64" s="4" t="n"/>
      <c r="U64" s="7" t="inlineStr"/>
    </row>
    <row r="65">
      <c r="A65" s="4" t="inlineStr">
        <is>
          <t>verse2b</t>
        </is>
      </c>
      <c r="B65" s="4" t="inlineStr">
        <is>
          <t>C1</t>
        </is>
      </c>
      <c r="C65" s="4" t="inlineStr">
        <is>
          <t>lead</t>
        </is>
      </c>
      <c r="D65" s="4" t="n">
        <v>1</v>
      </c>
      <c r="E65" s="4" t="n">
        <v>1.75</v>
      </c>
      <c r="F65" s="4" t="inlineStr">
        <is>
          <t>bVI</t>
        </is>
      </c>
      <c r="G65" s="4" t="inlineStr">
        <is>
          <t>F</t>
        </is>
      </c>
      <c r="H65" s="4" t="inlineStr">
        <is>
          <t>T</t>
        </is>
      </c>
      <c r="I65" s="4" t="inlineStr">
        <is>
          <t>2</t>
        </is>
      </c>
      <c r="J65" s="4" t="inlineStr">
        <is>
          <t>B3</t>
        </is>
      </c>
      <c r="K65" s="4" t="n">
        <v>2</v>
      </c>
      <c r="L65" s="4">
        <f>IF(OR(C65&lt;&gt;C64,K65="",K64=""),"",K65-K64)</f>
        <v/>
      </c>
      <c r="M65" s="4">
        <f>IF(L65="","",IF(L65=0,"repeat",IF(ABS(L65)&lt;=2,"step","leap")))</f>
        <v/>
      </c>
      <c r="N65" s="4">
        <f>IF(F65&lt;&gt;F64,"Y","")</f>
        <v/>
      </c>
      <c r="O65" s="5" t="inlineStr">
        <is>
          <t>N</t>
        </is>
      </c>
      <c r="P65" s="5" t="inlineStr">
        <is>
          <t>u</t>
        </is>
      </c>
      <c r="Q65" s="5" t="inlineStr">
        <is>
          <t>closed</t>
        </is>
      </c>
      <c r="R65" s="6" t="n"/>
      <c r="S65" s="4" t="n"/>
      <c r="T65" s="4" t="n"/>
      <c r="U65" s="7" t="inlineStr"/>
    </row>
    <row r="66">
      <c r="A66" s="4" t="inlineStr">
        <is>
          <t>verse2b</t>
        </is>
      </c>
      <c r="B66" s="4" t="inlineStr">
        <is>
          <t>C1</t>
        </is>
      </c>
      <c r="C66" s="4" t="inlineStr">
        <is>
          <t>lead</t>
        </is>
      </c>
      <c r="D66" s="4" t="n">
        <v>1</v>
      </c>
      <c r="E66" s="4" t="n">
        <v>2</v>
      </c>
      <c r="F66" s="4" t="inlineStr">
        <is>
          <t>bVI</t>
        </is>
      </c>
      <c r="G66" s="4" t="inlineStr">
        <is>
          <t>F</t>
        </is>
      </c>
      <c r="H66" s="4" t="inlineStr">
        <is>
          <t>T</t>
        </is>
      </c>
      <c r="I66" s="4" t="inlineStr">
        <is>
          <t>3</t>
        </is>
      </c>
      <c r="J66" s="4" t="inlineStr">
        <is>
          <t>C#4</t>
        </is>
      </c>
      <c r="K66" s="4" t="n">
        <v>4</v>
      </c>
      <c r="L66" s="4">
        <f>IF(OR(C66&lt;&gt;C65,K66="",K65=""),"",K66-K65)</f>
        <v/>
      </c>
      <c r="M66" s="4">
        <f>IF(L66="","",IF(L66=0,"repeat",IF(ABS(L66)&lt;=2,"step","leap")))</f>
        <v/>
      </c>
      <c r="N66" s="4">
        <f>IF(F66&lt;&gt;F65,"Y","")</f>
        <v/>
      </c>
      <c r="O66" s="5" t="inlineStr">
        <is>
          <t>N</t>
        </is>
      </c>
      <c r="P66" s="5" t="inlineStr">
        <is>
          <t>S</t>
        </is>
      </c>
      <c r="Q66" s="5" t="inlineStr">
        <is>
          <t>closed</t>
        </is>
      </c>
      <c r="R66" s="6" t="n"/>
      <c r="S66" s="4" t="n"/>
      <c r="T66" s="4" t="n"/>
      <c r="U66" s="7" t="inlineStr"/>
    </row>
    <row r="67">
      <c r="A67" s="4" t="inlineStr">
        <is>
          <t>verse2b</t>
        </is>
      </c>
      <c r="B67" s="4" t="inlineStr">
        <is>
          <t>C1</t>
        </is>
      </c>
      <c r="C67" s="4" t="inlineStr">
        <is>
          <t>lead</t>
        </is>
      </c>
      <c r="D67" s="4" t="n">
        <v>1</v>
      </c>
      <c r="E67" s="4" t="n">
        <v>3</v>
      </c>
      <c r="F67" s="4" t="inlineStr">
        <is>
          <t>bVI</t>
        </is>
      </c>
      <c r="G67" s="4" t="inlineStr">
        <is>
          <t>F</t>
        </is>
      </c>
      <c r="H67" s="4" t="inlineStr">
        <is>
          <t>T</t>
        </is>
      </c>
      <c r="I67" s="4" t="inlineStr">
        <is>
          <t>2</t>
        </is>
      </c>
      <c r="J67" s="4" t="inlineStr">
        <is>
          <t>B3</t>
        </is>
      </c>
      <c r="K67" s="4" t="n">
        <v>2</v>
      </c>
      <c r="L67" s="4">
        <f>IF(OR(C67&lt;&gt;C66,K67="",K66=""),"",K67-K66)</f>
        <v/>
      </c>
      <c r="M67" s="4">
        <f>IF(L67="","",IF(L67=0,"repeat",IF(ABS(L67)&lt;=2,"step","leap")))</f>
        <v/>
      </c>
      <c r="N67" s="4">
        <f>IF(F67&lt;&gt;F66,"Y","")</f>
        <v/>
      </c>
      <c r="O67" s="5" t="inlineStr">
        <is>
          <t>N</t>
        </is>
      </c>
      <c r="P67" s="5" t="inlineStr">
        <is>
          <t>S</t>
        </is>
      </c>
      <c r="Q67" s="5" t="inlineStr">
        <is>
          <t>closed</t>
        </is>
      </c>
      <c r="R67" s="6" t="n"/>
      <c r="S67" s="4" t="n"/>
      <c r="T67" s="4" t="n"/>
      <c r="U67" s="7" t="inlineStr"/>
    </row>
    <row r="68">
      <c r="A68" s="4" t="inlineStr">
        <is>
          <t>verse2b</t>
        </is>
      </c>
      <c r="B68" s="4" t="inlineStr">
        <is>
          <t>C2</t>
        </is>
      </c>
      <c r="C68" s="4" t="inlineStr">
        <is>
          <t>lead</t>
        </is>
      </c>
      <c r="D68" s="4" t="n">
        <v>2</v>
      </c>
      <c r="E68" s="4" t="n">
        <v>1</v>
      </c>
      <c r="F68" s="4" t="inlineStr">
        <is>
          <t>bVI</t>
        </is>
      </c>
      <c r="G68" s="4" t="inlineStr">
        <is>
          <t>F</t>
        </is>
      </c>
      <c r="H68" s="4" t="inlineStr">
        <is>
          <t>T</t>
        </is>
      </c>
      <c r="I68" s="4" t="inlineStr">
        <is>
          <t>3</t>
        </is>
      </c>
      <c r="J68" s="4" t="inlineStr">
        <is>
          <t>C#4</t>
        </is>
      </c>
      <c r="K68" s="4" t="n">
        <v>4</v>
      </c>
      <c r="L68" s="4">
        <f>IF(OR(C68&lt;&gt;C67,K68="",K67=""),"",K68-K67)</f>
        <v/>
      </c>
      <c r="M68" s="4">
        <f>IF(L68="","",IF(L68=0,"repeat",IF(ABS(L68)&lt;=2,"step","leap")))</f>
        <v/>
      </c>
      <c r="N68" s="4">
        <f>IF(F68&lt;&gt;F67,"Y","")</f>
        <v/>
      </c>
      <c r="O68" s="5" t="inlineStr">
        <is>
          <t>N</t>
        </is>
      </c>
      <c r="P68" s="5" t="inlineStr">
        <is>
          <t>S</t>
        </is>
      </c>
      <c r="Q68" s="5" t="inlineStr">
        <is>
          <t>closed</t>
        </is>
      </c>
      <c r="R68" s="6" t="n"/>
      <c r="S68" s="4" t="n"/>
      <c r="T68" s="4" t="n"/>
      <c r="U68" s="7" t="inlineStr"/>
    </row>
    <row r="69">
      <c r="A69" s="4" t="inlineStr">
        <is>
          <t>verse2b</t>
        </is>
      </c>
      <c r="B69" s="4" t="inlineStr">
        <is>
          <t>C2</t>
        </is>
      </c>
      <c r="C69" s="4" t="inlineStr">
        <is>
          <t>lead</t>
        </is>
      </c>
      <c r="D69" s="4" t="n">
        <v>2</v>
      </c>
      <c r="E69" s="4" t="n">
        <v>1.25</v>
      </c>
      <c r="F69" s="4" t="inlineStr">
        <is>
          <t>bVI</t>
        </is>
      </c>
      <c r="G69" s="4" t="inlineStr">
        <is>
          <t>F</t>
        </is>
      </c>
      <c r="H69" s="4" t="inlineStr">
        <is>
          <t>T</t>
        </is>
      </c>
      <c r="I69" s="4" t="inlineStr">
        <is>
          <t>2</t>
        </is>
      </c>
      <c r="J69" s="4" t="inlineStr">
        <is>
          <t>B3</t>
        </is>
      </c>
      <c r="K69" s="4" t="n">
        <v>2</v>
      </c>
      <c r="L69" s="4">
        <f>IF(OR(C69&lt;&gt;C68,K69="",K68=""),"",K69-K68)</f>
        <v/>
      </c>
      <c r="M69" s="4">
        <f>IF(L69="","",IF(L69=0,"repeat",IF(ABS(L69)&lt;=2,"step","leap")))</f>
        <v/>
      </c>
      <c r="N69" s="4">
        <f>IF(F69&lt;&gt;F68,"Y","")</f>
        <v/>
      </c>
      <c r="O69" s="5" t="inlineStr">
        <is>
          <t>N</t>
        </is>
      </c>
      <c r="P69" s="5" t="inlineStr">
        <is>
          <t>u</t>
        </is>
      </c>
      <c r="Q69" s="5" t="inlineStr">
        <is>
          <t>closed</t>
        </is>
      </c>
      <c r="R69" s="6" t="n"/>
      <c r="S69" s="4" t="n"/>
      <c r="T69" s="4" t="n"/>
      <c r="U69" s="7" t="inlineStr"/>
    </row>
    <row r="70">
      <c r="A70" s="4" t="inlineStr">
        <is>
          <t>verse2b</t>
        </is>
      </c>
      <c r="B70" s="4" t="inlineStr">
        <is>
          <t>C2</t>
        </is>
      </c>
      <c r="C70" s="4" t="inlineStr">
        <is>
          <t>lead</t>
        </is>
      </c>
      <c r="D70" s="4" t="n">
        <v>2</v>
      </c>
      <c r="E70" s="4" t="n">
        <v>1.5</v>
      </c>
      <c r="F70" s="4" t="inlineStr">
        <is>
          <t>bVI</t>
        </is>
      </c>
      <c r="G70" s="4" t="inlineStr">
        <is>
          <t>F</t>
        </is>
      </c>
      <c r="H70" s="4" t="inlineStr">
        <is>
          <t>T</t>
        </is>
      </c>
      <c r="I70" s="4" t="inlineStr">
        <is>
          <t>3</t>
        </is>
      </c>
      <c r="J70" s="4" t="inlineStr">
        <is>
          <t>C#4</t>
        </is>
      </c>
      <c r="K70" s="4" t="n">
        <v>4</v>
      </c>
      <c r="L70" s="4">
        <f>IF(OR(C70&lt;&gt;C69,K70="",K69=""),"",K70-K69)</f>
        <v/>
      </c>
      <c r="M70" s="4">
        <f>IF(L70="","",IF(L70=0,"repeat",IF(ABS(L70)&lt;=2,"step","leap")))</f>
        <v/>
      </c>
      <c r="N70" s="4">
        <f>IF(F70&lt;&gt;F69,"Y","")</f>
        <v/>
      </c>
      <c r="O70" s="5" t="inlineStr">
        <is>
          <t>N</t>
        </is>
      </c>
      <c r="P70" s="5" t="inlineStr">
        <is>
          <t>S</t>
        </is>
      </c>
      <c r="Q70" s="5" t="inlineStr">
        <is>
          <t>closed</t>
        </is>
      </c>
      <c r="R70" s="6" t="n"/>
      <c r="S70" s="4" t="n"/>
      <c r="T70" s="4" t="n"/>
      <c r="U70" s="7" t="inlineStr"/>
    </row>
    <row r="71">
      <c r="A71" s="4" t="inlineStr">
        <is>
          <t>verse2b</t>
        </is>
      </c>
      <c r="B71" s="4" t="inlineStr">
        <is>
          <t>C2</t>
        </is>
      </c>
      <c r="C71" s="4" t="inlineStr">
        <is>
          <t>lead</t>
        </is>
      </c>
      <c r="D71" s="4" t="n">
        <v>2</v>
      </c>
      <c r="E71" s="4" t="n">
        <v>1.75</v>
      </c>
      <c r="F71" s="4" t="inlineStr">
        <is>
          <t>bVI</t>
        </is>
      </c>
      <c r="G71" s="4" t="inlineStr">
        <is>
          <t>F</t>
        </is>
      </c>
      <c r="H71" s="4" t="inlineStr">
        <is>
          <t>T</t>
        </is>
      </c>
      <c r="I71" s="4" t="inlineStr">
        <is>
          <t>2</t>
        </is>
      </c>
      <c r="J71" s="4" t="inlineStr">
        <is>
          <t>B3</t>
        </is>
      </c>
      <c r="K71" s="4" t="n">
        <v>2</v>
      </c>
      <c r="L71" s="4">
        <f>IF(OR(C71&lt;&gt;C70,K71="",K70=""),"",K71-K70)</f>
        <v/>
      </c>
      <c r="M71" s="4">
        <f>IF(L71="","",IF(L71=0,"repeat",IF(ABS(L71)&lt;=2,"step","leap")))</f>
        <v/>
      </c>
      <c r="N71" s="4">
        <f>IF(F71&lt;&gt;F70,"Y","")</f>
        <v/>
      </c>
      <c r="O71" s="5" t="inlineStr">
        <is>
          <t>N</t>
        </is>
      </c>
      <c r="P71" s="5" t="inlineStr">
        <is>
          <t>u</t>
        </is>
      </c>
      <c r="Q71" s="5" t="inlineStr">
        <is>
          <t>closed</t>
        </is>
      </c>
      <c r="R71" s="6" t="n"/>
      <c r="S71" s="4" t="n"/>
      <c r="T71" s="4" t="n"/>
      <c r="U71" s="7" t="inlineStr"/>
    </row>
    <row r="72">
      <c r="A72" s="4" t="inlineStr">
        <is>
          <t>verse2b</t>
        </is>
      </c>
      <c r="B72" s="4" t="inlineStr">
        <is>
          <t>C2</t>
        </is>
      </c>
      <c r="C72" s="4" t="inlineStr">
        <is>
          <t>lead</t>
        </is>
      </c>
      <c r="D72" s="4" t="n">
        <v>2</v>
      </c>
      <c r="E72" s="4" t="n">
        <v>2</v>
      </c>
      <c r="F72" s="4" t="inlineStr">
        <is>
          <t>bVI</t>
        </is>
      </c>
      <c r="G72" s="4" t="inlineStr">
        <is>
          <t>F</t>
        </is>
      </c>
      <c r="H72" s="4" t="inlineStr">
        <is>
          <t>T</t>
        </is>
      </c>
      <c r="I72" s="4" t="inlineStr">
        <is>
          <t>3</t>
        </is>
      </c>
      <c r="J72" s="4" t="inlineStr">
        <is>
          <t>C#4</t>
        </is>
      </c>
      <c r="K72" s="4" t="n">
        <v>4</v>
      </c>
      <c r="L72" s="4">
        <f>IF(OR(C72&lt;&gt;C71,K72="",K71=""),"",K72-K71)</f>
        <v/>
      </c>
      <c r="M72" s="4">
        <f>IF(L72="","",IF(L72=0,"repeat",IF(ABS(L72)&lt;=2,"step","leap")))</f>
        <v/>
      </c>
      <c r="N72" s="4">
        <f>IF(F72&lt;&gt;F71,"Y","")</f>
        <v/>
      </c>
      <c r="O72" s="5" t="inlineStr">
        <is>
          <t>N</t>
        </is>
      </c>
      <c r="P72" s="5" t="inlineStr">
        <is>
          <t>S</t>
        </is>
      </c>
      <c r="Q72" s="5" t="inlineStr">
        <is>
          <t>closed</t>
        </is>
      </c>
      <c r="R72" s="6" t="n"/>
      <c r="S72" s="4" t="n"/>
      <c r="T72" s="4" t="n"/>
      <c r="U72" s="7" t="inlineStr"/>
    </row>
    <row r="73">
      <c r="A73" s="4" t="inlineStr">
        <is>
          <t>verse2b</t>
        </is>
      </c>
      <c r="B73" s="4" t="inlineStr">
        <is>
          <t>C2</t>
        </is>
      </c>
      <c r="C73" s="4" t="inlineStr">
        <is>
          <t>lead</t>
        </is>
      </c>
      <c r="D73" s="4" t="n">
        <v>2</v>
      </c>
      <c r="E73" s="4" t="n">
        <v>2.5</v>
      </c>
      <c r="F73" s="4" t="inlineStr">
        <is>
          <t>bVI</t>
        </is>
      </c>
      <c r="G73" s="4" t="inlineStr">
        <is>
          <t>F</t>
        </is>
      </c>
      <c r="H73" s="4" t="inlineStr">
        <is>
          <t>T</t>
        </is>
      </c>
      <c r="I73" s="4" t="inlineStr">
        <is>
          <t>2</t>
        </is>
      </c>
      <c r="J73" s="4" t="inlineStr">
        <is>
          <t>B3</t>
        </is>
      </c>
      <c r="K73" s="4" t="n">
        <v>2</v>
      </c>
      <c r="L73" s="4">
        <f>IF(OR(C73&lt;&gt;C72,K73="",K72=""),"",K73-K72)</f>
        <v/>
      </c>
      <c r="M73" s="4">
        <f>IF(L73="","",IF(L73=0,"repeat",IF(ABS(L73)&lt;=2,"step","leap")))</f>
        <v/>
      </c>
      <c r="N73" s="4">
        <f>IF(F73&lt;&gt;F72,"Y","")</f>
        <v/>
      </c>
      <c r="O73" s="5" t="inlineStr">
        <is>
          <t>N</t>
        </is>
      </c>
      <c r="P73" s="5" t="inlineStr">
        <is>
          <t>u</t>
        </is>
      </c>
      <c r="Q73" s="5" t="inlineStr">
        <is>
          <t>open</t>
        </is>
      </c>
      <c r="R73" s="6" t="n"/>
      <c r="S73" s="4" t="n"/>
      <c r="T73" s="4" t="n"/>
      <c r="U73" s="7" t="inlineStr">
        <is>
          <t>16th dip inside the held syllable</t>
        </is>
      </c>
    </row>
    <row r="74">
      <c r="A74" s="4" t="inlineStr">
        <is>
          <t>verse2b</t>
        </is>
      </c>
      <c r="B74" s="4" t="inlineStr">
        <is>
          <t>C2</t>
        </is>
      </c>
      <c r="C74" s="4" t="inlineStr">
        <is>
          <t>lead</t>
        </is>
      </c>
      <c r="D74" s="4" t="n">
        <v>2</v>
      </c>
      <c r="E74" s="4" t="n">
        <v>3</v>
      </c>
      <c r="F74" s="4" t="inlineStr">
        <is>
          <t>bVI</t>
        </is>
      </c>
      <c r="G74" s="4" t="inlineStr">
        <is>
          <t>F</t>
        </is>
      </c>
      <c r="H74" s="4" t="inlineStr">
        <is>
          <t>T</t>
        </is>
      </c>
      <c r="I74" s="4" t="inlineStr">
        <is>
          <t>3</t>
        </is>
      </c>
      <c r="J74" s="4" t="inlineStr">
        <is>
          <t>C#4</t>
        </is>
      </c>
      <c r="K74" s="4" t="n">
        <v>4</v>
      </c>
      <c r="L74" s="4">
        <f>IF(OR(C74&lt;&gt;C73,K74="",K73=""),"",K74-K73)</f>
        <v/>
      </c>
      <c r="M74" s="4">
        <f>IF(L74="","",IF(L74=0,"repeat",IF(ABS(L74)&lt;=2,"step","leap")))</f>
        <v/>
      </c>
      <c r="N74" s="4">
        <f>IF(F74&lt;&gt;F73,"Y","")</f>
        <v/>
      </c>
      <c r="O74" s="5" t="inlineStr">
        <is>
          <t>N</t>
        </is>
      </c>
      <c r="P74" s="5" t="inlineStr">
        <is>
          <t>u</t>
        </is>
      </c>
      <c r="Q74" s="5" t="inlineStr">
        <is>
          <t>open</t>
        </is>
      </c>
      <c r="R74" s="6" t="n"/>
      <c r="S74" s="4" t="n"/>
      <c r="T74" s="4" t="n"/>
      <c r="U74" s="7" t="inlineStr"/>
    </row>
    <row r="75">
      <c r="A75" s="4" t="inlineStr">
        <is>
          <t>verse2b</t>
        </is>
      </c>
      <c r="B75" s="4" t="inlineStr">
        <is>
          <t>C2</t>
        </is>
      </c>
      <c r="C75" s="4" t="inlineStr">
        <is>
          <t>lead</t>
        </is>
      </c>
      <c r="D75" s="4" t="n">
        <v>2</v>
      </c>
      <c r="E75" s="4" t="n">
        <v>3.5</v>
      </c>
      <c r="F75" s="4" t="inlineStr">
        <is>
          <t>bVI</t>
        </is>
      </c>
      <c r="G75" s="4" t="inlineStr">
        <is>
          <t>F</t>
        </is>
      </c>
      <c r="H75" s="4" t="inlineStr">
        <is>
          <t>T</t>
        </is>
      </c>
      <c r="I75" s="4" t="inlineStr">
        <is>
          <t>3</t>
        </is>
      </c>
      <c r="J75" s="4" t="inlineStr">
        <is>
          <t>C#4</t>
        </is>
      </c>
      <c r="K75" s="4" t="n">
        <v>4</v>
      </c>
      <c r="L75" s="4">
        <f>IF(OR(C75&lt;&gt;C74,K75="",K74=""),"",K75-K74)</f>
        <v/>
      </c>
      <c r="M75" s="4">
        <f>IF(L75="","",IF(L75=0,"repeat",IF(ABS(L75)&lt;=2,"step","leap")))</f>
        <v/>
      </c>
      <c r="N75" s="4">
        <f>IF(F75&lt;&gt;F74,"Y","")</f>
        <v/>
      </c>
      <c r="O75" s="5" t="inlineStr">
        <is>
          <t>N</t>
        </is>
      </c>
      <c r="P75" s="5" t="inlineStr">
        <is>
          <t>S</t>
        </is>
      </c>
      <c r="Q75" s="5" t="inlineStr">
        <is>
          <t>open</t>
        </is>
      </c>
      <c r="R75" s="6" t="n"/>
      <c r="S75" s="4" t="n"/>
      <c r="T75" s="4" t="n"/>
      <c r="U75" s="7" t="inlineStr">
        <is>
          <t>slurs down to 2 at the phrase tail (approx)</t>
        </is>
      </c>
    </row>
    <row r="76">
      <c r="A76" s="4" t="inlineStr">
        <is>
          <t>verse2b</t>
        </is>
      </c>
      <c r="B76" s="4" t="inlineStr">
        <is>
          <t>C3</t>
        </is>
      </c>
      <c r="C76" s="4" t="inlineStr">
        <is>
          <t>lead</t>
        </is>
      </c>
      <c r="D76" s="4" t="n">
        <v>3</v>
      </c>
      <c r="E76" s="4" t="n">
        <v>1</v>
      </c>
      <c r="F76" s="4" t="inlineStr">
        <is>
          <t>II</t>
        </is>
      </c>
      <c r="G76" s="4" t="inlineStr">
        <is>
          <t>B</t>
        </is>
      </c>
      <c r="H76" s="4" t="inlineStr">
        <is>
          <t>PD</t>
        </is>
      </c>
      <c r="I76" s="4" t="inlineStr">
        <is>
          <t>3</t>
        </is>
      </c>
      <c r="J76" s="4" t="inlineStr">
        <is>
          <t>C#4</t>
        </is>
      </c>
      <c r="K76" s="4" t="n">
        <v>4</v>
      </c>
      <c r="L76" s="4">
        <f>IF(OR(C76&lt;&gt;C75,K76="",K75=""),"",K76-K75)</f>
        <v/>
      </c>
      <c r="M76" s="4">
        <f>IF(L76="","",IF(L76=0,"repeat",IF(ABS(L76)&lt;=2,"step","leap")))</f>
        <v/>
      </c>
      <c r="N76" s="4">
        <f>IF(F76&lt;&gt;F75,"Y","")</f>
        <v/>
      </c>
      <c r="O76" s="5" t="inlineStr">
        <is>
          <t>N</t>
        </is>
      </c>
      <c r="P76" s="5" t="inlineStr">
        <is>
          <t>u</t>
        </is>
      </c>
      <c r="Q76" s="5" t="inlineStr">
        <is>
          <t>closed</t>
        </is>
      </c>
      <c r="R76" s="6" t="n"/>
      <c r="S76" s="4" t="n"/>
      <c r="T76" s="4" t="n"/>
      <c r="U76" s="7" t="inlineStr">
        <is>
          <t>chant continues over II - now 3 = 9th, 2 = root</t>
        </is>
      </c>
    </row>
    <row r="77">
      <c r="A77" s="4" t="inlineStr">
        <is>
          <t>verse2b</t>
        </is>
      </c>
      <c r="B77" s="4" t="inlineStr">
        <is>
          <t>C3</t>
        </is>
      </c>
      <c r="C77" s="4" t="inlineStr">
        <is>
          <t>lead</t>
        </is>
      </c>
      <c r="D77" s="4" t="n">
        <v>3</v>
      </c>
      <c r="E77" s="4" t="n">
        <v>1.25</v>
      </c>
      <c r="F77" s="4" t="inlineStr">
        <is>
          <t>II</t>
        </is>
      </c>
      <c r="G77" s="4" t="inlineStr">
        <is>
          <t>B</t>
        </is>
      </c>
      <c r="H77" s="4" t="inlineStr">
        <is>
          <t>PD</t>
        </is>
      </c>
      <c r="I77" s="4" t="inlineStr">
        <is>
          <t>2</t>
        </is>
      </c>
      <c r="J77" s="4" t="inlineStr">
        <is>
          <t>B3</t>
        </is>
      </c>
      <c r="K77" s="4" t="n">
        <v>2</v>
      </c>
      <c r="L77" s="4">
        <f>IF(OR(C77&lt;&gt;C76,K77="",K76=""),"",K77-K76)</f>
        <v/>
      </c>
      <c r="M77" s="4">
        <f>IF(L77="","",IF(L77=0,"repeat",IF(ABS(L77)&lt;=2,"step","leap")))</f>
        <v/>
      </c>
      <c r="N77" s="4">
        <f>IF(F77&lt;&gt;F76,"Y","")</f>
        <v/>
      </c>
      <c r="O77" s="5" t="inlineStr">
        <is>
          <t>Y</t>
        </is>
      </c>
      <c r="P77" s="5" t="inlineStr">
        <is>
          <t>u</t>
        </is>
      </c>
      <c r="Q77" s="5" t="inlineStr">
        <is>
          <t>closed</t>
        </is>
      </c>
      <c r="R77" s="6" t="n"/>
      <c r="S77" s="4" t="n"/>
      <c r="T77" s="4" t="n"/>
      <c r="U77" s="7" t="inlineStr"/>
    </row>
    <row r="78">
      <c r="A78" s="4" t="inlineStr">
        <is>
          <t>verse2b</t>
        </is>
      </c>
      <c r="B78" s="4" t="inlineStr">
        <is>
          <t>C3</t>
        </is>
      </c>
      <c r="C78" s="4" t="inlineStr">
        <is>
          <t>lead</t>
        </is>
      </c>
      <c r="D78" s="4" t="n">
        <v>3</v>
      </c>
      <c r="E78" s="4" t="n">
        <v>1.5</v>
      </c>
      <c r="F78" s="4" t="inlineStr">
        <is>
          <t>II</t>
        </is>
      </c>
      <c r="G78" s="4" t="inlineStr">
        <is>
          <t>B</t>
        </is>
      </c>
      <c r="H78" s="4" t="inlineStr">
        <is>
          <t>PD</t>
        </is>
      </c>
      <c r="I78" s="4" t="inlineStr">
        <is>
          <t>3</t>
        </is>
      </c>
      <c r="J78" s="4" t="inlineStr">
        <is>
          <t>C#4</t>
        </is>
      </c>
      <c r="K78" s="4" t="n">
        <v>4</v>
      </c>
      <c r="L78" s="4">
        <f>IF(OR(C78&lt;&gt;C77,K78="",K77=""),"",K78-K77)</f>
        <v/>
      </c>
      <c r="M78" s="4">
        <f>IF(L78="","",IF(L78=0,"repeat",IF(ABS(L78)&lt;=2,"step","leap")))</f>
        <v/>
      </c>
      <c r="N78" s="4">
        <f>IF(F78&lt;&gt;F77,"Y","")</f>
        <v/>
      </c>
      <c r="O78" s="5" t="inlineStr">
        <is>
          <t>N</t>
        </is>
      </c>
      <c r="P78" s="5" t="inlineStr">
        <is>
          <t>u</t>
        </is>
      </c>
      <c r="Q78" s="5" t="inlineStr">
        <is>
          <t>open</t>
        </is>
      </c>
      <c r="R78" s="6" t="n"/>
      <c r="S78" s="4" t="n"/>
      <c r="T78" s="4" t="n"/>
      <c r="U78" s="7" t="inlineStr"/>
    </row>
    <row r="79">
      <c r="A79" s="4" t="inlineStr">
        <is>
          <t>verse2b</t>
        </is>
      </c>
      <c r="B79" s="4" t="inlineStr">
        <is>
          <t>C3</t>
        </is>
      </c>
      <c r="C79" s="4" t="inlineStr">
        <is>
          <t>lead</t>
        </is>
      </c>
      <c r="D79" s="4" t="n">
        <v>3</v>
      </c>
      <c r="E79" s="4" t="n">
        <v>1.75</v>
      </c>
      <c r="F79" s="4" t="inlineStr">
        <is>
          <t>II</t>
        </is>
      </c>
      <c r="G79" s="4" t="inlineStr">
        <is>
          <t>B</t>
        </is>
      </c>
      <c r="H79" s="4" t="inlineStr">
        <is>
          <t>PD</t>
        </is>
      </c>
      <c r="I79" s="4" t="inlineStr">
        <is>
          <t>2</t>
        </is>
      </c>
      <c r="J79" s="4" t="inlineStr">
        <is>
          <t>B3</t>
        </is>
      </c>
      <c r="K79" s="4" t="n">
        <v>2</v>
      </c>
      <c r="L79" s="4">
        <f>IF(OR(C79&lt;&gt;C78,K79="",K78=""),"",K79-K78)</f>
        <v/>
      </c>
      <c r="M79" s="4">
        <f>IF(L79="","",IF(L79=0,"repeat",IF(ABS(L79)&lt;=2,"step","leap")))</f>
        <v/>
      </c>
      <c r="N79" s="4">
        <f>IF(F79&lt;&gt;F78,"Y","")</f>
        <v/>
      </c>
      <c r="O79" s="5" t="inlineStr">
        <is>
          <t>Y</t>
        </is>
      </c>
      <c r="P79" s="5" t="inlineStr">
        <is>
          <t>S</t>
        </is>
      </c>
      <c r="Q79" s="5" t="inlineStr">
        <is>
          <t>open</t>
        </is>
      </c>
      <c r="R79" s="6" t="n"/>
      <c r="S79" s="4" t="n"/>
      <c r="T79" s="4" t="n"/>
      <c r="U79" s="7" t="inlineStr"/>
    </row>
    <row r="80">
      <c r="A80" s="4" t="inlineStr">
        <is>
          <t>verse2b</t>
        </is>
      </c>
      <c r="B80" s="4" t="inlineStr">
        <is>
          <t>C3</t>
        </is>
      </c>
      <c r="C80" s="4" t="inlineStr">
        <is>
          <t>lead</t>
        </is>
      </c>
      <c r="D80" s="4" t="n">
        <v>3</v>
      </c>
      <c r="E80" s="4" t="n">
        <v>2</v>
      </c>
      <c r="F80" s="4" t="inlineStr">
        <is>
          <t>II</t>
        </is>
      </c>
      <c r="G80" s="4" t="inlineStr">
        <is>
          <t>B</t>
        </is>
      </c>
      <c r="H80" s="4" t="inlineStr">
        <is>
          <t>PD</t>
        </is>
      </c>
      <c r="I80" s="4" t="inlineStr">
        <is>
          <t>3</t>
        </is>
      </c>
      <c r="J80" s="4" t="inlineStr">
        <is>
          <t>C#4</t>
        </is>
      </c>
      <c r="K80" s="4" t="n">
        <v>4</v>
      </c>
      <c r="L80" s="4">
        <f>IF(OR(C80&lt;&gt;C79,K80="",K79=""),"",K80-K79)</f>
        <v/>
      </c>
      <c r="M80" s="4">
        <f>IF(L80="","",IF(L80=0,"repeat",IF(ABS(L80)&lt;=2,"step","leap")))</f>
        <v/>
      </c>
      <c r="N80" s="4">
        <f>IF(F80&lt;&gt;F79,"Y","")</f>
        <v/>
      </c>
      <c r="O80" s="5" t="inlineStr">
        <is>
          <t>N</t>
        </is>
      </c>
      <c r="P80" s="5" t="inlineStr">
        <is>
          <t>u</t>
        </is>
      </c>
      <c r="Q80" s="5" t="inlineStr">
        <is>
          <t>closed</t>
        </is>
      </c>
      <c r="R80" s="6" t="n"/>
      <c r="S80" s="4" t="n"/>
      <c r="T80" s="4" t="n"/>
      <c r="U80" s="7" t="inlineStr"/>
    </row>
    <row r="81">
      <c r="A81" s="4" t="inlineStr">
        <is>
          <t>verse2b</t>
        </is>
      </c>
      <c r="B81" s="4" t="inlineStr">
        <is>
          <t>C3</t>
        </is>
      </c>
      <c r="C81" s="4" t="inlineStr">
        <is>
          <t>lead</t>
        </is>
      </c>
      <c r="D81" s="4" t="n">
        <v>3</v>
      </c>
      <c r="E81" s="4" t="n">
        <v>2.5</v>
      </c>
      <c r="F81" s="4" t="inlineStr">
        <is>
          <t>II</t>
        </is>
      </c>
      <c r="G81" s="4" t="inlineStr">
        <is>
          <t>B</t>
        </is>
      </c>
      <c r="H81" s="4" t="inlineStr">
        <is>
          <t>PD</t>
        </is>
      </c>
      <c r="I81" s="4" t="inlineStr">
        <is>
          <t>2</t>
        </is>
      </c>
      <c r="J81" s="4" t="inlineStr">
        <is>
          <t>B3</t>
        </is>
      </c>
      <c r="K81" s="4" t="n">
        <v>2</v>
      </c>
      <c r="L81" s="4">
        <f>IF(OR(C81&lt;&gt;C80,K81="",K80=""),"",K81-K80)</f>
        <v/>
      </c>
      <c r="M81" s="4">
        <f>IF(L81="","",IF(L81=0,"repeat",IF(ABS(L81)&lt;=2,"step","leap")))</f>
        <v/>
      </c>
      <c r="N81" s="4">
        <f>IF(F81&lt;&gt;F80,"Y","")</f>
        <v/>
      </c>
      <c r="O81" s="5" t="inlineStr">
        <is>
          <t>Y</t>
        </is>
      </c>
      <c r="P81" s="5" t="inlineStr">
        <is>
          <t>S</t>
        </is>
      </c>
      <c r="Q81" s="5" t="inlineStr">
        <is>
          <t>open</t>
        </is>
      </c>
      <c r="R81" s="6" t="n"/>
      <c r="S81" s="4" t="n"/>
      <c r="T81" s="4" t="n"/>
      <c r="U81" s="7" t="inlineStr">
        <is>
          <t>slur dips toward 1 (approx)</t>
        </is>
      </c>
    </row>
    <row r="82">
      <c r="A82" s="4" t="inlineStr">
        <is>
          <t>verse2b</t>
        </is>
      </c>
      <c r="B82" s="4" t="inlineStr">
        <is>
          <t>C4</t>
        </is>
      </c>
      <c r="C82" s="4" t="inlineStr">
        <is>
          <t>lead</t>
        </is>
      </c>
      <c r="D82" s="4" t="n">
        <v>4</v>
      </c>
      <c r="E82" s="4" t="n">
        <v>1</v>
      </c>
      <c r="F82" s="4" t="inlineStr">
        <is>
          <t>II</t>
        </is>
      </c>
      <c r="G82" s="4" t="inlineStr">
        <is>
          <t>B</t>
        </is>
      </c>
      <c r="H82" s="4" t="inlineStr">
        <is>
          <t>PD</t>
        </is>
      </c>
      <c r="I82" s="4" t="inlineStr">
        <is>
          <t>3</t>
        </is>
      </c>
      <c r="J82" s="4" t="inlineStr">
        <is>
          <t>C#4</t>
        </is>
      </c>
      <c r="K82" s="4" t="n">
        <v>4</v>
      </c>
      <c r="L82" s="4">
        <f>IF(OR(C82&lt;&gt;C81,K82="",K81=""),"",K82-K81)</f>
        <v/>
      </c>
      <c r="M82" s="4">
        <f>IF(L82="","",IF(L82=0,"repeat",IF(ABS(L82)&lt;=2,"step","leap")))</f>
        <v/>
      </c>
      <c r="N82" s="4">
        <f>IF(F82&lt;&gt;F81,"Y","")</f>
        <v/>
      </c>
      <c r="O82" s="5" t="inlineStr">
        <is>
          <t>N</t>
        </is>
      </c>
      <c r="P82" s="5" t="inlineStr">
        <is>
          <t>u</t>
        </is>
      </c>
      <c r="Q82" s="5" t="inlineStr">
        <is>
          <t>closed</t>
        </is>
      </c>
      <c r="R82" s="6" t="n"/>
      <c r="S82" s="4" t="n"/>
      <c r="T82" s="4" t="n"/>
      <c r="U82" s="7" t="inlineStr"/>
    </row>
    <row r="83">
      <c r="A83" s="4" t="inlineStr">
        <is>
          <t>verse2b</t>
        </is>
      </c>
      <c r="B83" s="4" t="inlineStr">
        <is>
          <t>C4</t>
        </is>
      </c>
      <c r="C83" s="4" t="inlineStr">
        <is>
          <t>lead</t>
        </is>
      </c>
      <c r="D83" s="4" t="n">
        <v>4</v>
      </c>
      <c r="E83" s="4" t="n">
        <v>1.25</v>
      </c>
      <c r="F83" s="4" t="inlineStr">
        <is>
          <t>II</t>
        </is>
      </c>
      <c r="G83" s="4" t="inlineStr">
        <is>
          <t>B</t>
        </is>
      </c>
      <c r="H83" s="4" t="inlineStr">
        <is>
          <t>PD</t>
        </is>
      </c>
      <c r="I83" s="4" t="inlineStr">
        <is>
          <t>2</t>
        </is>
      </c>
      <c r="J83" s="4" t="inlineStr">
        <is>
          <t>B3</t>
        </is>
      </c>
      <c r="K83" s="4" t="n">
        <v>2</v>
      </c>
      <c r="L83" s="4">
        <f>IF(OR(C83&lt;&gt;C82,K83="",K82=""),"",K83-K82)</f>
        <v/>
      </c>
      <c r="M83" s="4">
        <f>IF(L83="","",IF(L83=0,"repeat",IF(ABS(L83)&lt;=2,"step","leap")))</f>
        <v/>
      </c>
      <c r="N83" s="4">
        <f>IF(F83&lt;&gt;F82,"Y","")</f>
        <v/>
      </c>
      <c r="O83" s="5" t="inlineStr">
        <is>
          <t>Y</t>
        </is>
      </c>
      <c r="P83" s="5" t="inlineStr">
        <is>
          <t>u</t>
        </is>
      </c>
      <c r="Q83" s="5" t="inlineStr">
        <is>
          <t>open</t>
        </is>
      </c>
      <c r="R83" s="6" t="n"/>
      <c r="S83" s="4" t="n"/>
      <c r="T83" s="4" t="n"/>
      <c r="U83" s="7" t="inlineStr"/>
    </row>
    <row r="84">
      <c r="A84" s="4" t="inlineStr">
        <is>
          <t>verse2b</t>
        </is>
      </c>
      <c r="B84" s="4" t="inlineStr">
        <is>
          <t>C4</t>
        </is>
      </c>
      <c r="C84" s="4" t="inlineStr">
        <is>
          <t>lead</t>
        </is>
      </c>
      <c r="D84" s="4" t="n">
        <v>4</v>
      </c>
      <c r="E84" s="4" t="n">
        <v>1.5</v>
      </c>
      <c r="F84" s="4" t="inlineStr">
        <is>
          <t>II</t>
        </is>
      </c>
      <c r="G84" s="4" t="inlineStr">
        <is>
          <t>B</t>
        </is>
      </c>
      <c r="H84" s="4" t="inlineStr">
        <is>
          <t>PD</t>
        </is>
      </c>
      <c r="I84" s="4" t="inlineStr">
        <is>
          <t>3</t>
        </is>
      </c>
      <c r="J84" s="4" t="inlineStr">
        <is>
          <t>C#4</t>
        </is>
      </c>
      <c r="K84" s="4" t="n">
        <v>4</v>
      </c>
      <c r="L84" s="4">
        <f>IF(OR(C84&lt;&gt;C83,K84="",K83=""),"",K84-K83)</f>
        <v/>
      </c>
      <c r="M84" s="4">
        <f>IF(L84="","",IF(L84=0,"repeat",IF(ABS(L84)&lt;=2,"step","leap")))</f>
        <v/>
      </c>
      <c r="N84" s="4">
        <f>IF(F84&lt;&gt;F83,"Y","")</f>
        <v/>
      </c>
      <c r="O84" s="5" t="inlineStr">
        <is>
          <t>N</t>
        </is>
      </c>
      <c r="P84" s="5" t="inlineStr">
        <is>
          <t>u</t>
        </is>
      </c>
      <c r="Q84" s="5" t="inlineStr">
        <is>
          <t>open</t>
        </is>
      </c>
      <c r="R84" s="6" t="n"/>
      <c r="S84" s="4" t="n"/>
      <c r="T84" s="4" t="n"/>
      <c r="U84" s="7" t="inlineStr"/>
    </row>
    <row r="85">
      <c r="A85" s="4" t="inlineStr">
        <is>
          <t>verse2b</t>
        </is>
      </c>
      <c r="B85" s="4" t="inlineStr">
        <is>
          <t>C4</t>
        </is>
      </c>
      <c r="C85" s="4" t="inlineStr">
        <is>
          <t>lead</t>
        </is>
      </c>
      <c r="D85" s="4" t="n">
        <v>4</v>
      </c>
      <c r="E85" s="4" t="n">
        <v>1.75</v>
      </c>
      <c r="F85" s="4" t="inlineStr">
        <is>
          <t>II</t>
        </is>
      </c>
      <c r="G85" s="4" t="inlineStr">
        <is>
          <t>B</t>
        </is>
      </c>
      <c r="H85" s="4" t="inlineStr">
        <is>
          <t>PD</t>
        </is>
      </c>
      <c r="I85" s="4" t="inlineStr">
        <is>
          <t>2</t>
        </is>
      </c>
      <c r="J85" s="4" t="inlineStr">
        <is>
          <t>B3</t>
        </is>
      </c>
      <c r="K85" s="4" t="n">
        <v>2</v>
      </c>
      <c r="L85" s="4">
        <f>IF(OR(C85&lt;&gt;C84,K85="",K84=""),"",K85-K84)</f>
        <v/>
      </c>
      <c r="M85" s="4">
        <f>IF(L85="","",IF(L85=0,"repeat",IF(ABS(L85)&lt;=2,"step","leap")))</f>
        <v/>
      </c>
      <c r="N85" s="4">
        <f>IF(F85&lt;&gt;F84,"Y","")</f>
        <v/>
      </c>
      <c r="O85" s="5" t="inlineStr">
        <is>
          <t>Y</t>
        </is>
      </c>
      <c r="P85" s="5" t="inlineStr">
        <is>
          <t>S</t>
        </is>
      </c>
      <c r="Q85" s="5" t="inlineStr">
        <is>
          <t>open</t>
        </is>
      </c>
      <c r="R85" s="6" t="n"/>
      <c r="S85" s="4" t="n"/>
      <c r="T85" s="4" t="n"/>
      <c r="U85" s="7" t="inlineStr"/>
    </row>
    <row r="86">
      <c r="A86" s="4" t="inlineStr">
        <is>
          <t>verse2b</t>
        </is>
      </c>
      <c r="B86" s="4" t="inlineStr">
        <is>
          <t>C4</t>
        </is>
      </c>
      <c r="C86" s="4" t="inlineStr">
        <is>
          <t>lead</t>
        </is>
      </c>
      <c r="D86" s="4" t="n">
        <v>4</v>
      </c>
      <c r="E86" s="4" t="n">
        <v>2</v>
      </c>
      <c r="F86" s="4" t="inlineStr">
        <is>
          <t>II</t>
        </is>
      </c>
      <c r="G86" s="4" t="inlineStr">
        <is>
          <t>B</t>
        </is>
      </c>
      <c r="H86" s="4" t="inlineStr">
        <is>
          <t>PD</t>
        </is>
      </c>
      <c r="I86" s="4" t="inlineStr">
        <is>
          <t>3</t>
        </is>
      </c>
      <c r="J86" s="4" t="inlineStr">
        <is>
          <t>C#4</t>
        </is>
      </c>
      <c r="K86" s="4" t="n">
        <v>4</v>
      </c>
      <c r="L86" s="4">
        <f>IF(OR(C86&lt;&gt;C85,K86="",K85=""),"",K86-K85)</f>
        <v/>
      </c>
      <c r="M86" s="4">
        <f>IF(L86="","",IF(L86=0,"repeat",IF(ABS(L86)&lt;=2,"step","leap")))</f>
        <v/>
      </c>
      <c r="N86" s="4">
        <f>IF(F86&lt;&gt;F85,"Y","")</f>
        <v/>
      </c>
      <c r="O86" s="5" t="inlineStr">
        <is>
          <t>N</t>
        </is>
      </c>
      <c r="P86" s="5" t="inlineStr">
        <is>
          <t>S</t>
        </is>
      </c>
      <c r="Q86" s="5" t="inlineStr">
        <is>
          <t>open</t>
        </is>
      </c>
      <c r="R86" s="6" t="n"/>
      <c r="S86" s="4" t="n"/>
      <c r="T86" s="4" t="n"/>
      <c r="U86" s="7" t="inlineStr"/>
    </row>
    <row r="87">
      <c r="A87" s="4" t="inlineStr">
        <is>
          <t>verse2b</t>
        </is>
      </c>
      <c r="B87" s="4" t="inlineStr">
        <is>
          <t>C4</t>
        </is>
      </c>
      <c r="C87" s="4" t="inlineStr">
        <is>
          <t>lead</t>
        </is>
      </c>
      <c r="D87" s="4" t="n">
        <v>4</v>
      </c>
      <c r="E87" s="4" t="n">
        <v>2.5</v>
      </c>
      <c r="F87" s="4" t="inlineStr">
        <is>
          <t>II</t>
        </is>
      </c>
      <c r="G87" s="4" t="inlineStr">
        <is>
          <t>B</t>
        </is>
      </c>
      <c r="H87" s="4" t="inlineStr">
        <is>
          <t>PD</t>
        </is>
      </c>
      <c r="I87" s="4" t="inlineStr">
        <is>
          <t>6</t>
        </is>
      </c>
      <c r="J87" s="4" t="inlineStr">
        <is>
          <t>F#3</t>
        </is>
      </c>
      <c r="K87" s="4" t="n">
        <v>-3</v>
      </c>
      <c r="L87" s="4">
        <f>IF(OR(C87&lt;&gt;C86,K87="",K86=""),"",K87-K86)</f>
        <v/>
      </c>
      <c r="M87" s="4">
        <f>IF(L87="","",IF(L87=0,"repeat",IF(ABS(L87)&lt;=2,"step","leap")))</f>
        <v/>
      </c>
      <c r="N87" s="4">
        <f>IF(F87&lt;&gt;F86,"Y","")</f>
        <v/>
      </c>
      <c r="O87" s="5" t="inlineStr">
        <is>
          <t>Y</t>
        </is>
      </c>
      <c r="P87" s="5" t="inlineStr">
        <is>
          <t>S</t>
        </is>
      </c>
      <c r="Q87" s="5" t="inlineStr">
        <is>
          <t>open</t>
        </is>
      </c>
      <c r="R87" s="6" t="n"/>
      <c r="S87" s="4" t="n"/>
      <c r="T87" s="4" t="n"/>
      <c r="U87" s="7" t="inlineStr">
        <is>
          <t>THE DROP: last word plunges ~an octave to low 6 (=5th of II), growled long note (approx)</t>
        </is>
      </c>
    </row>
    <row r="88">
      <c r="A88" s="4" t="inlineStr">
        <is>
          <t>verse2b</t>
        </is>
      </c>
      <c r="B88" s="4" t="inlineStr">
        <is>
          <t>pickup</t>
        </is>
      </c>
      <c r="C88" s="4" t="inlineStr">
        <is>
          <t>lead</t>
        </is>
      </c>
      <c r="D88" s="4" t="n">
        <v>4</v>
      </c>
      <c r="E88" s="4" t="n">
        <v>4</v>
      </c>
      <c r="F88" s="4" t="inlineStr">
        <is>
          <t>II</t>
        </is>
      </c>
      <c r="G88" s="4" t="inlineStr">
        <is>
          <t>B</t>
        </is>
      </c>
      <c r="H88" s="4" t="inlineStr">
        <is>
          <t>PD</t>
        </is>
      </c>
      <c r="I88" s="4" t="inlineStr">
        <is>
          <t>2</t>
        </is>
      </c>
      <c r="J88" s="4" t="inlineStr">
        <is>
          <t>B3</t>
        </is>
      </c>
      <c r="K88" s="4" t="n">
        <v>2</v>
      </c>
      <c r="L88" s="4">
        <f>IF(OR(C88&lt;&gt;C87,K88="",K87=""),"",K88-K87)</f>
        <v/>
      </c>
      <c r="M88" s="4">
        <f>IF(L88="","",IF(L88=0,"repeat",IF(ABS(L88)&lt;=2,"step","leap")))</f>
        <v/>
      </c>
      <c r="N88" s="4">
        <f>IF(F88&lt;&gt;F87,"Y","")</f>
        <v/>
      </c>
      <c r="O88" s="5" t="inlineStr">
        <is>
          <t>Y</t>
        </is>
      </c>
      <c r="P88" s="5" t="inlineStr">
        <is>
          <t>u</t>
        </is>
      </c>
      <c r="Q88" s="5" t="inlineStr">
        <is>
          <t>open</t>
        </is>
      </c>
      <c r="R88" s="6" t="n"/>
      <c r="S88" s="4" t="n"/>
      <c r="T88" s="4" t="n"/>
      <c r="U88" s="7" t="inlineStr">
        <is>
          <t>3-note pickup into the chorus</t>
        </is>
      </c>
    </row>
    <row r="89">
      <c r="A89" s="4" t="inlineStr">
        <is>
          <t>verse2b</t>
        </is>
      </c>
      <c r="B89" s="4" t="inlineStr">
        <is>
          <t>pickup</t>
        </is>
      </c>
      <c r="C89" s="4" t="inlineStr">
        <is>
          <t>lead</t>
        </is>
      </c>
      <c r="D89" s="4" t="n">
        <v>4</v>
      </c>
      <c r="E89" s="4" t="n">
        <v>4.25</v>
      </c>
      <c r="F89" s="4" t="inlineStr">
        <is>
          <t>II</t>
        </is>
      </c>
      <c r="G89" s="4" t="inlineStr">
        <is>
          <t>B</t>
        </is>
      </c>
      <c r="H89" s="4" t="inlineStr">
        <is>
          <t>PD</t>
        </is>
      </c>
      <c r="I89" s="4" t="inlineStr">
        <is>
          <t>2</t>
        </is>
      </c>
      <c r="J89" s="4" t="inlineStr">
        <is>
          <t>B3</t>
        </is>
      </c>
      <c r="K89" s="4" t="n">
        <v>2</v>
      </c>
      <c r="L89" s="4">
        <f>IF(OR(C89&lt;&gt;C88,K89="",K88=""),"",K89-K88)</f>
        <v/>
      </c>
      <c r="M89" s="4">
        <f>IF(L89="","",IF(L89=0,"repeat",IF(ABS(L89)&lt;=2,"step","leap")))</f>
        <v/>
      </c>
      <c r="N89" s="4">
        <f>IF(F89&lt;&gt;F88,"Y","")</f>
        <v/>
      </c>
      <c r="O89" s="5" t="inlineStr">
        <is>
          <t>Y</t>
        </is>
      </c>
      <c r="P89" s="5" t="inlineStr">
        <is>
          <t>u</t>
        </is>
      </c>
      <c r="Q89" s="5" t="inlineStr">
        <is>
          <t>open</t>
        </is>
      </c>
      <c r="R89" s="6" t="n"/>
      <c r="S89" s="4" t="n"/>
      <c r="T89" s="4" t="n"/>
      <c r="U89" s="7" t="inlineStr"/>
    </row>
    <row r="90">
      <c r="A90" s="4" t="inlineStr">
        <is>
          <t>verse2b</t>
        </is>
      </c>
      <c r="B90" s="4" t="inlineStr">
        <is>
          <t>pickup</t>
        </is>
      </c>
      <c r="C90" s="4" t="inlineStr">
        <is>
          <t>lead</t>
        </is>
      </c>
      <c r="D90" s="4" t="n">
        <v>4</v>
      </c>
      <c r="E90" s="4" t="n">
        <v>4.5</v>
      </c>
      <c r="F90" s="4" t="inlineStr">
        <is>
          <t>II</t>
        </is>
      </c>
      <c r="G90" s="4" t="inlineStr">
        <is>
          <t>B</t>
        </is>
      </c>
      <c r="H90" s="4" t="inlineStr">
        <is>
          <t>PD</t>
        </is>
      </c>
      <c r="I90" s="4" t="inlineStr">
        <is>
          <t>b3</t>
        </is>
      </c>
      <c r="J90" s="4" t="inlineStr">
        <is>
          <t>C4</t>
        </is>
      </c>
      <c r="K90" s="4" t="n">
        <v>3</v>
      </c>
      <c r="L90" s="4">
        <f>IF(OR(C90&lt;&gt;C89,K90="",K89=""),"",K90-K89)</f>
        <v/>
      </c>
      <c r="M90" s="4">
        <f>IF(L90="","",IF(L90=0,"repeat",IF(ABS(L90)&lt;=2,"step","leap")))</f>
        <v/>
      </c>
      <c r="N90" s="4">
        <f>IF(F90&lt;&gt;F89,"Y","")</f>
        <v/>
      </c>
      <c r="O90" s="5" t="inlineStr">
        <is>
          <t>N</t>
        </is>
      </c>
      <c r="P90" s="5" t="inlineStr">
        <is>
          <t>u</t>
        </is>
      </c>
      <c r="Q90" s="5" t="inlineStr">
        <is>
          <t>open</t>
        </is>
      </c>
      <c r="R90" s="6" t="n"/>
      <c r="S90" s="4" t="n"/>
      <c r="T90" s="4" t="n"/>
      <c r="U90" s="7" t="inlineStr">
        <is>
          <t>engraved NATURAL: pickup lifts a half-step onto the blue b3</t>
        </is>
      </c>
    </row>
    <row r="91">
      <c r="A91" s="4" t="inlineStr">
        <is>
          <t>chorus</t>
        </is>
      </c>
      <c r="B91" s="4" t="inlineStr">
        <is>
          <t>ch1</t>
        </is>
      </c>
      <c r="C91" s="4" t="inlineStr">
        <is>
          <t>lead</t>
        </is>
      </c>
      <c r="D91" s="4" t="n">
        <v>1</v>
      </c>
      <c r="E91" s="4" t="n">
        <v>1</v>
      </c>
      <c r="F91" s="4" t="inlineStr">
        <is>
          <t>bIII</t>
        </is>
      </c>
      <c r="G91" s="4" t="inlineStr">
        <is>
          <t>C</t>
        </is>
      </c>
      <c r="H91" s="4" t="inlineStr">
        <is>
          <t>PD</t>
        </is>
      </c>
      <c r="I91" s="4" t="inlineStr">
        <is>
          <t>b3</t>
        </is>
      </c>
      <c r="J91" s="4" t="inlineStr">
        <is>
          <t>C4</t>
        </is>
      </c>
      <c r="K91" s="4" t="n">
        <v>3</v>
      </c>
      <c r="L91" s="4">
        <f>IF(OR(C91&lt;&gt;C90,K91="",K90=""),"",K91-K90)</f>
        <v/>
      </c>
      <c r="M91" s="4">
        <f>IF(L91="","",IF(L91=0,"repeat",IF(ABS(L91)&lt;=2,"step","leap")))</f>
        <v/>
      </c>
      <c r="N91" s="4">
        <f>IF(F91&lt;&gt;F90,"Y","")</f>
        <v/>
      </c>
      <c r="O91" s="5" t="inlineStr">
        <is>
          <t>Y</t>
        </is>
      </c>
      <c r="P91" s="5" t="inlineStr">
        <is>
          <t>S</t>
        </is>
      </c>
      <c r="Q91" s="5" t="inlineStr">
        <is>
          <t>open</t>
        </is>
      </c>
      <c r="R91" s="6" t="n"/>
      <c r="S91" s="4" t="n"/>
      <c r="T91" s="4" t="n"/>
      <c r="U91" s="7" t="inlineStr">
        <is>
          <t>title chant sits on b3 = root of bIII; each chorus phrase sits one step higher than the last</t>
        </is>
      </c>
    </row>
    <row r="92">
      <c r="A92" s="4" t="inlineStr">
        <is>
          <t>chorus</t>
        </is>
      </c>
      <c r="B92" s="4" t="inlineStr">
        <is>
          <t>ch1</t>
        </is>
      </c>
      <c r="C92" s="4" t="inlineStr">
        <is>
          <t>lead</t>
        </is>
      </c>
      <c r="D92" s="4" t="n">
        <v>1</v>
      </c>
      <c r="E92" s="4" t="n">
        <v>1.5</v>
      </c>
      <c r="F92" s="4" t="inlineStr">
        <is>
          <t>bIII</t>
        </is>
      </c>
      <c r="G92" s="4" t="inlineStr">
        <is>
          <t>C</t>
        </is>
      </c>
      <c r="H92" s="4" t="inlineStr">
        <is>
          <t>PD</t>
        </is>
      </c>
      <c r="I92" s="4" t="inlineStr">
        <is>
          <t>b3</t>
        </is>
      </c>
      <c r="J92" s="4" t="inlineStr">
        <is>
          <t>C4</t>
        </is>
      </c>
      <c r="K92" s="4" t="n">
        <v>3</v>
      </c>
      <c r="L92" s="4">
        <f>IF(OR(C92&lt;&gt;C91,K92="",K91=""),"",K92-K91)</f>
        <v/>
      </c>
      <c r="M92" s="4">
        <f>IF(L92="","",IF(L92=0,"repeat",IF(ABS(L92)&lt;=2,"step","leap")))</f>
        <v/>
      </c>
      <c r="N92" s="4">
        <f>IF(F92&lt;&gt;F91,"Y","")</f>
        <v/>
      </c>
      <c r="O92" s="5" t="inlineStr">
        <is>
          <t>Y</t>
        </is>
      </c>
      <c r="P92" s="5" t="inlineStr">
        <is>
          <t>u</t>
        </is>
      </c>
      <c r="Q92" s="5" t="inlineStr">
        <is>
          <t>open</t>
        </is>
      </c>
      <c r="R92" s="6" t="n"/>
      <c r="S92" s="4" t="n"/>
      <c r="T92" s="4" t="n"/>
      <c r="U92" s="7" t="inlineStr"/>
    </row>
    <row r="93">
      <c r="A93" s="4" t="inlineStr">
        <is>
          <t>chorus</t>
        </is>
      </c>
      <c r="B93" s="4" t="inlineStr">
        <is>
          <t>ch1</t>
        </is>
      </c>
      <c r="C93" s="4" t="inlineStr">
        <is>
          <t>lead</t>
        </is>
      </c>
      <c r="D93" s="4" t="n">
        <v>1</v>
      </c>
      <c r="E93" s="4" t="n">
        <v>3.5</v>
      </c>
      <c r="F93" s="4" t="inlineStr">
        <is>
          <t>bIII</t>
        </is>
      </c>
      <c r="G93" s="4" t="inlineStr">
        <is>
          <t>C</t>
        </is>
      </c>
      <c r="H93" s="4" t="inlineStr">
        <is>
          <t>PD</t>
        </is>
      </c>
      <c r="I93" s="4" t="inlineStr">
        <is>
          <t>4</t>
        </is>
      </c>
      <c r="J93" s="4" t="inlineStr">
        <is>
          <t>D4</t>
        </is>
      </c>
      <c r="K93" s="4" t="n">
        <v>5</v>
      </c>
      <c r="L93" s="4">
        <f>IF(OR(C93&lt;&gt;C92,K93="",K92=""),"",K93-K92)</f>
        <v/>
      </c>
      <c r="M93" s="4">
        <f>IF(L93="","",IF(L93=0,"repeat",IF(ABS(L93)&lt;=2,"step","leap")))</f>
        <v/>
      </c>
      <c r="N93" s="4">
        <f>IF(F93&lt;&gt;F92,"Y","")</f>
        <v/>
      </c>
      <c r="O93" s="5" t="inlineStr">
        <is>
          <t>N</t>
        </is>
      </c>
      <c r="P93" s="5" t="inlineStr">
        <is>
          <t>u</t>
        </is>
      </c>
      <c r="Q93" s="5" t="inlineStr">
        <is>
          <t>open</t>
        </is>
      </c>
      <c r="R93" s="6" t="n"/>
      <c r="S93" s="4" t="n"/>
      <c r="T93" s="4" t="n"/>
      <c r="U93" s="7" t="inlineStr">
        <is>
          <t>next pickup rises to 4</t>
        </is>
      </c>
    </row>
    <row r="94">
      <c r="A94" s="4" t="inlineStr">
        <is>
          <t>chorus</t>
        </is>
      </c>
      <c r="B94" s="4" t="inlineStr">
        <is>
          <t>ch1</t>
        </is>
      </c>
      <c r="C94" s="4" t="inlineStr">
        <is>
          <t>lead</t>
        </is>
      </c>
      <c r="D94" s="4" t="n">
        <v>1</v>
      </c>
      <c r="E94" s="4" t="n">
        <v>3.75</v>
      </c>
      <c r="F94" s="4" t="inlineStr">
        <is>
          <t>bIII</t>
        </is>
      </c>
      <c r="G94" s="4" t="inlineStr">
        <is>
          <t>C</t>
        </is>
      </c>
      <c r="H94" s="4" t="inlineStr">
        <is>
          <t>PD</t>
        </is>
      </c>
      <c r="I94" s="4" t="inlineStr">
        <is>
          <t>4</t>
        </is>
      </c>
      <c r="J94" s="4" t="inlineStr">
        <is>
          <t>D4</t>
        </is>
      </c>
      <c r="K94" s="4" t="n">
        <v>5</v>
      </c>
      <c r="L94" s="4">
        <f>IF(OR(C94&lt;&gt;C93,K94="",K93=""),"",K94-K93)</f>
        <v/>
      </c>
      <c r="M94" s="4">
        <f>IF(L94="","",IF(L94=0,"repeat",IF(ABS(L94)&lt;=2,"step","leap")))</f>
        <v/>
      </c>
      <c r="N94" s="4">
        <f>IF(F94&lt;&gt;F93,"Y","")</f>
        <v/>
      </c>
      <c r="O94" s="5" t="inlineStr">
        <is>
          <t>N</t>
        </is>
      </c>
      <c r="P94" s="5" t="inlineStr">
        <is>
          <t>u</t>
        </is>
      </c>
      <c r="Q94" s="5" t="inlineStr">
        <is>
          <t>open</t>
        </is>
      </c>
      <c r="R94" s="6" t="n"/>
      <c r="S94" s="4" t="n"/>
      <c r="T94" s="4" t="n"/>
      <c r="U94" s="7" t="inlineStr"/>
    </row>
    <row r="95">
      <c r="A95" s="4" t="inlineStr">
        <is>
          <t>chorus</t>
        </is>
      </c>
      <c r="B95" s="4" t="inlineStr">
        <is>
          <t>ch1</t>
        </is>
      </c>
      <c r="C95" s="4" t="inlineStr">
        <is>
          <t>lead</t>
        </is>
      </c>
      <c r="D95" s="4" t="n">
        <v>1</v>
      </c>
      <c r="E95" s="4" t="n">
        <v>4.25</v>
      </c>
      <c r="F95" s="4" t="inlineStr">
        <is>
          <t>bIII</t>
        </is>
      </c>
      <c r="G95" s="4" t="inlineStr">
        <is>
          <t>C</t>
        </is>
      </c>
      <c r="H95" s="4" t="inlineStr">
        <is>
          <t>PD</t>
        </is>
      </c>
      <c r="I95" s="4" t="inlineStr">
        <is>
          <t>4</t>
        </is>
      </c>
      <c r="J95" s="4" t="inlineStr">
        <is>
          <t>D4</t>
        </is>
      </c>
      <c r="K95" s="4" t="n">
        <v>5</v>
      </c>
      <c r="L95" s="4">
        <f>IF(OR(C95&lt;&gt;C94,K95="",K94=""),"",K95-K94)</f>
        <v/>
      </c>
      <c r="M95" s="4">
        <f>IF(L95="","",IF(L95=0,"repeat",IF(ABS(L95)&lt;=2,"step","leap")))</f>
        <v/>
      </c>
      <c r="N95" s="4">
        <f>IF(F95&lt;&gt;F94,"Y","")</f>
        <v/>
      </c>
      <c r="O95" s="5" t="inlineStr">
        <is>
          <t>N</t>
        </is>
      </c>
      <c r="P95" s="5" t="inlineStr">
        <is>
          <t>u</t>
        </is>
      </c>
      <c r="Q95" s="5" t="inlineStr">
        <is>
          <t>open</t>
        </is>
      </c>
      <c r="R95" s="6" t="n"/>
      <c r="S95" s="4" t="n"/>
      <c r="T95" s="4" t="n"/>
      <c r="U95" s="7" t="inlineStr"/>
    </row>
    <row r="96">
      <c r="A96" s="4" t="inlineStr">
        <is>
          <t>chorus</t>
        </is>
      </c>
      <c r="B96" s="4" t="inlineStr">
        <is>
          <t>ch2</t>
        </is>
      </c>
      <c r="C96" s="4" t="inlineStr">
        <is>
          <t>lead</t>
        </is>
      </c>
      <c r="D96" s="4" t="n">
        <v>2</v>
      </c>
      <c r="E96" s="4" t="n">
        <v>1</v>
      </c>
      <c r="F96" s="4" t="inlineStr">
        <is>
          <t>IV</t>
        </is>
      </c>
      <c r="G96" s="4" t="inlineStr">
        <is>
          <t>D</t>
        </is>
      </c>
      <c r="H96" s="4" t="inlineStr">
        <is>
          <t>PD</t>
        </is>
      </c>
      <c r="I96" s="4" t="inlineStr">
        <is>
          <t>5</t>
        </is>
      </c>
      <c r="J96" s="4" t="inlineStr">
        <is>
          <t>E4</t>
        </is>
      </c>
      <c r="K96" s="4" t="n">
        <v>7</v>
      </c>
      <c r="L96" s="4">
        <f>IF(OR(C96&lt;&gt;C95,K96="",K95=""),"",K96-K95)</f>
        <v/>
      </c>
      <c r="M96" s="4">
        <f>IF(L96="","",IF(L96=0,"repeat",IF(ABS(L96)&lt;=2,"step","leap")))</f>
        <v/>
      </c>
      <c r="N96" s="4">
        <f>IF(F96&lt;&gt;F95,"Y","")</f>
        <v/>
      </c>
      <c r="O96" s="5" t="inlineStr">
        <is>
          <t>N</t>
        </is>
      </c>
      <c r="P96" s="5" t="inlineStr">
        <is>
          <t>S</t>
        </is>
      </c>
      <c r="Q96" s="5" t="inlineStr">
        <is>
          <t>open</t>
        </is>
      </c>
      <c r="R96" s="6" t="n"/>
      <c r="S96" s="4" t="n"/>
      <c r="T96" s="4" t="n"/>
      <c r="U96" s="7" t="inlineStr">
        <is>
          <t>second title word a step higher (9th over IV)</t>
        </is>
      </c>
    </row>
    <row r="97">
      <c r="A97" s="4" t="inlineStr">
        <is>
          <t>chorus</t>
        </is>
      </c>
      <c r="B97" s="4" t="inlineStr">
        <is>
          <t>ch2</t>
        </is>
      </c>
      <c r="C97" s="4" t="inlineStr">
        <is>
          <t>lead</t>
        </is>
      </c>
      <c r="D97" s="4" t="n">
        <v>2</v>
      </c>
      <c r="E97" s="4" t="n">
        <v>1.5</v>
      </c>
      <c r="F97" s="4" t="inlineStr">
        <is>
          <t>IV</t>
        </is>
      </c>
      <c r="G97" s="4" t="inlineStr">
        <is>
          <t>D</t>
        </is>
      </c>
      <c r="H97" s="4" t="inlineStr">
        <is>
          <t>PD</t>
        </is>
      </c>
      <c r="I97" s="4" t="inlineStr">
        <is>
          <t>5</t>
        </is>
      </c>
      <c r="J97" s="4" t="inlineStr">
        <is>
          <t>E4</t>
        </is>
      </c>
      <c r="K97" s="4" t="n">
        <v>7</v>
      </c>
      <c r="L97" s="4">
        <f>IF(OR(C97&lt;&gt;C96,K97="",K96=""),"",K97-K96)</f>
        <v/>
      </c>
      <c r="M97" s="4">
        <f>IF(L97="","",IF(L97=0,"repeat",IF(ABS(L97)&lt;=2,"step","leap")))</f>
        <v/>
      </c>
      <c r="N97" s="4">
        <f>IF(F97&lt;&gt;F96,"Y","")</f>
        <v/>
      </c>
      <c r="O97" s="5" t="inlineStr">
        <is>
          <t>N</t>
        </is>
      </c>
      <c r="P97" s="5" t="inlineStr">
        <is>
          <t>u</t>
        </is>
      </c>
      <c r="Q97" s="5" t="inlineStr">
        <is>
          <t>open</t>
        </is>
      </c>
      <c r="R97" s="6" t="n"/>
      <c r="S97" s="4" t="n"/>
      <c r="T97" s="4" t="n"/>
      <c r="U97" s="7" t="inlineStr"/>
    </row>
    <row r="98">
      <c r="A98" s="4" t="inlineStr">
        <is>
          <t>chorus</t>
        </is>
      </c>
      <c r="B98" s="4" t="inlineStr">
        <is>
          <t>ch2</t>
        </is>
      </c>
      <c r="C98" s="4" t="inlineStr">
        <is>
          <t>lead</t>
        </is>
      </c>
      <c r="D98" s="4" t="n">
        <v>2</v>
      </c>
      <c r="E98" s="4" t="n">
        <v>3.5</v>
      </c>
      <c r="F98" s="4" t="inlineStr">
        <is>
          <t>IV</t>
        </is>
      </c>
      <c r="G98" s="4" t="inlineStr">
        <is>
          <t>D</t>
        </is>
      </c>
      <c r="H98" s="4" t="inlineStr">
        <is>
          <t>PD</t>
        </is>
      </c>
      <c r="I98" s="4" t="inlineStr">
        <is>
          <t>4</t>
        </is>
      </c>
      <c r="J98" s="4" t="inlineStr">
        <is>
          <t>D4</t>
        </is>
      </c>
      <c r="K98" s="4" t="n">
        <v>5</v>
      </c>
      <c r="L98" s="4">
        <f>IF(OR(C98&lt;&gt;C97,K98="",K97=""),"",K98-K97)</f>
        <v/>
      </c>
      <c r="M98" s="4">
        <f>IF(L98="","",IF(L98=0,"repeat",IF(ABS(L98)&lt;=2,"step","leap")))</f>
        <v/>
      </c>
      <c r="N98" s="4">
        <f>IF(F98&lt;&gt;F97,"Y","")</f>
        <v/>
      </c>
      <c r="O98" s="5" t="inlineStr">
        <is>
          <t>Y</t>
        </is>
      </c>
      <c r="P98" s="5" t="inlineStr">
        <is>
          <t>u</t>
        </is>
      </c>
      <c r="Q98" s="5" t="inlineStr">
        <is>
          <t>open</t>
        </is>
      </c>
      <c r="R98" s="6" t="n"/>
      <c r="S98" s="4" t="n"/>
      <c r="T98" s="4" t="n"/>
      <c r="U98" s="7" t="inlineStr">
        <is>
          <t>pickup on the chord root</t>
        </is>
      </c>
    </row>
    <row r="99">
      <c r="A99" s="4" t="inlineStr">
        <is>
          <t>chorus</t>
        </is>
      </c>
      <c r="B99" s="4" t="inlineStr">
        <is>
          <t>ch2</t>
        </is>
      </c>
      <c r="C99" s="4" t="inlineStr">
        <is>
          <t>lead</t>
        </is>
      </c>
      <c r="D99" s="4" t="n">
        <v>2</v>
      </c>
      <c r="E99" s="4" t="n">
        <v>3.75</v>
      </c>
      <c r="F99" s="4" t="inlineStr">
        <is>
          <t>IV</t>
        </is>
      </c>
      <c r="G99" s="4" t="inlineStr">
        <is>
          <t>D</t>
        </is>
      </c>
      <c r="H99" s="4" t="inlineStr">
        <is>
          <t>PD</t>
        </is>
      </c>
      <c r="I99" s="4" t="inlineStr">
        <is>
          <t>4</t>
        </is>
      </c>
      <c r="J99" s="4" t="inlineStr">
        <is>
          <t>D4</t>
        </is>
      </c>
      <c r="K99" s="4" t="n">
        <v>5</v>
      </c>
      <c r="L99" s="4">
        <f>IF(OR(C99&lt;&gt;C98,K99="",K98=""),"",K99-K98)</f>
        <v/>
      </c>
      <c r="M99" s="4">
        <f>IF(L99="","",IF(L99=0,"repeat",IF(ABS(L99)&lt;=2,"step","leap")))</f>
        <v/>
      </c>
      <c r="N99" s="4">
        <f>IF(F99&lt;&gt;F98,"Y","")</f>
        <v/>
      </c>
      <c r="O99" s="5" t="inlineStr">
        <is>
          <t>Y</t>
        </is>
      </c>
      <c r="P99" s="5" t="inlineStr">
        <is>
          <t>u</t>
        </is>
      </c>
      <c r="Q99" s="5" t="inlineStr">
        <is>
          <t>open</t>
        </is>
      </c>
      <c r="R99" s="6" t="n"/>
      <c r="S99" s="4" t="n"/>
      <c r="T99" s="4" t="n"/>
      <c r="U99" s="7" t="inlineStr"/>
    </row>
    <row r="100">
      <c r="A100" s="4" t="inlineStr">
        <is>
          <t>chorus</t>
        </is>
      </c>
      <c r="B100" s="4" t="inlineStr">
        <is>
          <t>ch2</t>
        </is>
      </c>
      <c r="C100" s="4" t="inlineStr">
        <is>
          <t>lead</t>
        </is>
      </c>
      <c r="D100" s="4" t="n">
        <v>2</v>
      </c>
      <c r="E100" s="4" t="n">
        <v>4.25</v>
      </c>
      <c r="F100" s="4" t="inlineStr">
        <is>
          <t>IV</t>
        </is>
      </c>
      <c r="G100" s="4" t="inlineStr">
        <is>
          <t>D</t>
        </is>
      </c>
      <c r="H100" s="4" t="inlineStr">
        <is>
          <t>PD</t>
        </is>
      </c>
      <c r="I100" s="4" t="inlineStr">
        <is>
          <t>4</t>
        </is>
      </c>
      <c r="J100" s="4" t="inlineStr">
        <is>
          <t>D4</t>
        </is>
      </c>
      <c r="K100" s="4" t="n">
        <v>5</v>
      </c>
      <c r="L100" s="4">
        <f>IF(OR(C100&lt;&gt;C99,K100="",K99=""),"",K100-K99)</f>
        <v/>
      </c>
      <c r="M100" s="4">
        <f>IF(L100="","",IF(L100=0,"repeat",IF(ABS(L100)&lt;=2,"step","leap")))</f>
        <v/>
      </c>
      <c r="N100" s="4">
        <f>IF(F100&lt;&gt;F99,"Y","")</f>
        <v/>
      </c>
      <c r="O100" s="5" t="inlineStr">
        <is>
          <t>Y</t>
        </is>
      </c>
      <c r="P100" s="5" t="inlineStr">
        <is>
          <t>u</t>
        </is>
      </c>
      <c r="Q100" s="5" t="inlineStr">
        <is>
          <t>open</t>
        </is>
      </c>
      <c r="R100" s="6" t="n"/>
      <c r="S100" s="4" t="n"/>
      <c r="T100" s="4" t="n"/>
      <c r="U100" s="7" t="inlineStr"/>
    </row>
    <row r="101">
      <c r="A101" s="4" t="inlineStr">
        <is>
          <t>chorus</t>
        </is>
      </c>
      <c r="B101" s="4" t="inlineStr">
        <is>
          <t>ch3</t>
        </is>
      </c>
      <c r="C101" s="4" t="inlineStr">
        <is>
          <t>lead</t>
        </is>
      </c>
      <c r="D101" s="4" t="n">
        <v>3</v>
      </c>
      <c r="E101" s="4" t="n">
        <v>1</v>
      </c>
      <c r="F101" s="4" t="inlineStr">
        <is>
          <t>V</t>
        </is>
      </c>
      <c r="G101" s="4" t="inlineStr">
        <is>
          <t>E</t>
        </is>
      </c>
      <c r="H101" s="4" t="inlineStr">
        <is>
          <t>D</t>
        </is>
      </c>
      <c r="I101" s="4" t="inlineStr">
        <is>
          <t>5</t>
        </is>
      </c>
      <c r="J101" s="4" t="inlineStr">
        <is>
          <t>E4</t>
        </is>
      </c>
      <c r="K101" s="4" t="n">
        <v>7</v>
      </c>
      <c r="L101" s="4">
        <f>IF(OR(C101&lt;&gt;C100,K101="",K100=""),"",K101-K100)</f>
        <v/>
      </c>
      <c r="M101" s="4">
        <f>IF(L101="","",IF(L101=0,"repeat",IF(ABS(L101)&lt;=2,"step","leap")))</f>
        <v/>
      </c>
      <c r="N101" s="4">
        <f>IF(F101&lt;&gt;F100,"Y","")</f>
        <v/>
      </c>
      <c r="O101" s="5" t="inlineStr">
        <is>
          <t>Y</t>
        </is>
      </c>
      <c r="P101" s="5" t="inlineStr">
        <is>
          <t>S</t>
        </is>
      </c>
      <c r="Q101" s="5" t="inlineStr">
        <is>
          <t>open</t>
        </is>
      </c>
      <c r="R101" s="6" t="n"/>
      <c r="S101" s="4" t="n"/>
      <c r="T101" s="4" t="n"/>
      <c r="U101" s="7" t="inlineStr">
        <is>
          <t>the walrus lands on the root of V - the chant note finally IS the chord</t>
        </is>
      </c>
    </row>
    <row r="102">
      <c r="A102" s="4" t="inlineStr">
        <is>
          <t>chorus</t>
        </is>
      </c>
      <c r="B102" s="4" t="inlineStr">
        <is>
          <t>ch3</t>
        </is>
      </c>
      <c r="C102" s="4" t="inlineStr">
        <is>
          <t>lead</t>
        </is>
      </c>
      <c r="D102" s="4" t="n">
        <v>3</v>
      </c>
      <c r="E102" s="4" t="n">
        <v>1.5</v>
      </c>
      <c r="F102" s="4" t="inlineStr">
        <is>
          <t>V</t>
        </is>
      </c>
      <c r="G102" s="4" t="inlineStr">
        <is>
          <t>E</t>
        </is>
      </c>
      <c r="H102" s="4" t="inlineStr">
        <is>
          <t>D</t>
        </is>
      </c>
      <c r="I102" s="4" t="inlineStr">
        <is>
          <t>5</t>
        </is>
      </c>
      <c r="J102" s="4" t="inlineStr">
        <is>
          <t>E4</t>
        </is>
      </c>
      <c r="K102" s="4" t="n">
        <v>7</v>
      </c>
      <c r="L102" s="4">
        <f>IF(OR(C102&lt;&gt;C101,K102="",K101=""),"",K102-K101)</f>
        <v/>
      </c>
      <c r="M102" s="4">
        <f>IF(L102="","",IF(L102=0,"repeat",IF(ABS(L102)&lt;=2,"step","leap")))</f>
        <v/>
      </c>
      <c r="N102" s="4">
        <f>IF(F102&lt;&gt;F101,"Y","")</f>
        <v/>
      </c>
      <c r="O102" s="5" t="inlineStr">
        <is>
          <t>Y</t>
        </is>
      </c>
      <c r="P102" s="5" t="inlineStr">
        <is>
          <t>u</t>
        </is>
      </c>
      <c r="Q102" s="5" t="inlineStr">
        <is>
          <t>closed</t>
        </is>
      </c>
      <c r="R102" s="6" t="n"/>
      <c r="S102" s="4" t="n"/>
      <c r="T102" s="4" t="n"/>
      <c r="U102" s="7" t="inlineStr"/>
    </row>
    <row r="103">
      <c r="A103" s="4" t="inlineStr">
        <is>
          <t>chorus</t>
        </is>
      </c>
      <c r="B103" s="4" t="inlineStr">
        <is>
          <t>ch4</t>
        </is>
      </c>
      <c r="C103" s="4" t="inlineStr">
        <is>
          <t>lead</t>
        </is>
      </c>
      <c r="D103" s="4" t="n">
        <v>4</v>
      </c>
      <c r="E103" s="4" t="n">
        <v>1</v>
      </c>
      <c r="F103" s="4" t="inlineStr">
        <is>
          <t>V</t>
        </is>
      </c>
      <c r="G103" s="4" t="inlineStr">
        <is>
          <t>E</t>
        </is>
      </c>
      <c r="H103" s="4" t="inlineStr">
        <is>
          <t>D</t>
        </is>
      </c>
      <c r="I103" s="4" t="inlineStr">
        <is>
          <t>5</t>
        </is>
      </c>
      <c r="J103" s="4" t="inlineStr">
        <is>
          <t>E4</t>
        </is>
      </c>
      <c r="K103" s="4" t="n">
        <v>7</v>
      </c>
      <c r="L103" s="4">
        <f>IF(OR(C103&lt;&gt;C102,K103="",K102=""),"",K103-K102)</f>
        <v/>
      </c>
      <c r="M103" s="4">
        <f>IF(L103="","",IF(L103=0,"repeat",IF(ABS(L103)&lt;=2,"step","leap")))</f>
        <v/>
      </c>
      <c r="N103" s="4">
        <f>IF(F103&lt;&gt;F102,"Y","")</f>
        <v/>
      </c>
      <c r="O103" s="5" t="inlineStr">
        <is>
          <t>Y</t>
        </is>
      </c>
      <c r="P103" s="5" t="inlineStr">
        <is>
          <t>S</t>
        </is>
      </c>
      <c r="Q103" s="5" t="inlineStr">
        <is>
          <t>closed</t>
        </is>
      </c>
      <c r="R103" s="6" t="n"/>
      <c r="S103" s="4" t="n"/>
      <c r="T103" s="4" t="n"/>
      <c r="U103" s="7" t="inlineStr">
        <is>
          <t>goo-goo tag: 5 5 #4 5 nonsense chant</t>
        </is>
      </c>
    </row>
    <row r="104">
      <c r="A104" s="4" t="inlineStr">
        <is>
          <t>chorus</t>
        </is>
      </c>
      <c r="B104" s="4" t="inlineStr">
        <is>
          <t>ch4</t>
        </is>
      </c>
      <c r="C104" s="4" t="inlineStr">
        <is>
          <t>lead</t>
        </is>
      </c>
      <c r="D104" s="4" t="n">
        <v>4</v>
      </c>
      <c r="E104" s="4" t="n">
        <v>1.5</v>
      </c>
      <c r="F104" s="4" t="inlineStr">
        <is>
          <t>V</t>
        </is>
      </c>
      <c r="G104" s="4" t="inlineStr">
        <is>
          <t>E</t>
        </is>
      </c>
      <c r="H104" s="4" t="inlineStr">
        <is>
          <t>D</t>
        </is>
      </c>
      <c r="I104" s="4" t="inlineStr">
        <is>
          <t>5</t>
        </is>
      </c>
      <c r="J104" s="4" t="inlineStr">
        <is>
          <t>E4</t>
        </is>
      </c>
      <c r="K104" s="4" t="n">
        <v>7</v>
      </c>
      <c r="L104" s="4">
        <f>IF(OR(C104&lt;&gt;C103,K104="",K103=""),"",K104-K103)</f>
        <v/>
      </c>
      <c r="M104" s="4">
        <f>IF(L104="","",IF(L104=0,"repeat",IF(ABS(L104)&lt;=2,"step","leap")))</f>
        <v/>
      </c>
      <c r="N104" s="4">
        <f>IF(F104&lt;&gt;F103,"Y","")</f>
        <v/>
      </c>
      <c r="O104" s="5" t="inlineStr">
        <is>
          <t>Y</t>
        </is>
      </c>
      <c r="P104" s="5" t="inlineStr">
        <is>
          <t>u</t>
        </is>
      </c>
      <c r="Q104" s="5" t="inlineStr">
        <is>
          <t>closed</t>
        </is>
      </c>
      <c r="R104" s="6" t="n"/>
      <c r="S104" s="4" t="n"/>
      <c r="T104" s="4" t="n"/>
      <c r="U104" s="7" t="inlineStr"/>
    </row>
    <row r="105">
      <c r="A105" s="4" t="inlineStr">
        <is>
          <t>chorus</t>
        </is>
      </c>
      <c r="B105" s="4" t="inlineStr">
        <is>
          <t>ch4</t>
        </is>
      </c>
      <c r="C105" s="4" t="inlineStr">
        <is>
          <t>lead</t>
        </is>
      </c>
      <c r="D105" s="4" t="n">
        <v>4</v>
      </c>
      <c r="E105" s="4" t="n">
        <v>2</v>
      </c>
      <c r="F105" s="4" t="inlineStr">
        <is>
          <t>V</t>
        </is>
      </c>
      <c r="G105" s="4" t="inlineStr">
        <is>
          <t>E</t>
        </is>
      </c>
      <c r="H105" s="4" t="inlineStr">
        <is>
          <t>D</t>
        </is>
      </c>
      <c r="I105" s="4" t="inlineStr">
        <is>
          <t>#4</t>
        </is>
      </c>
      <c r="J105" s="4" t="inlineStr">
        <is>
          <t>D#4</t>
        </is>
      </c>
      <c r="K105" s="4" t="n">
        <v>6</v>
      </c>
      <c r="L105" s="4">
        <f>IF(OR(C105&lt;&gt;C104,K105="",K104=""),"",K105-K104)</f>
        <v/>
      </c>
      <c r="M105" s="4">
        <f>IF(L105="","",IF(L105=0,"repeat",IF(ABS(L105)&lt;=2,"step","leap")))</f>
        <v/>
      </c>
      <c r="N105" s="4">
        <f>IF(F105&lt;&gt;F104,"Y","")</f>
        <v/>
      </c>
      <c r="O105" s="5" t="inlineStr">
        <is>
          <t>N</t>
        </is>
      </c>
      <c r="P105" s="5" t="inlineStr">
        <is>
          <t>u</t>
        </is>
      </c>
      <c r="Q105" s="5" t="inlineStr">
        <is>
          <t>closed</t>
        </is>
      </c>
      <c r="R105" s="6" t="n"/>
      <c r="S105" s="4" t="n"/>
      <c r="T105" s="4" t="n"/>
      <c r="U105" s="7" t="inlineStr">
        <is>
          <t>engraved sharp (maj7 of V)</t>
        </is>
      </c>
    </row>
    <row r="106">
      <c r="A106" s="4" t="inlineStr">
        <is>
          <t>chorus</t>
        </is>
      </c>
      <c r="B106" s="4" t="inlineStr">
        <is>
          <t>ch4</t>
        </is>
      </c>
      <c r="C106" s="4" t="inlineStr">
        <is>
          <t>lead</t>
        </is>
      </c>
      <c r="D106" s="4" t="n">
        <v>4</v>
      </c>
      <c r="E106" s="4" t="n">
        <v>2.5</v>
      </c>
      <c r="F106" s="4" t="inlineStr">
        <is>
          <t>V</t>
        </is>
      </c>
      <c r="G106" s="4" t="inlineStr">
        <is>
          <t>E</t>
        </is>
      </c>
      <c r="H106" s="4" t="inlineStr">
        <is>
          <t>D</t>
        </is>
      </c>
      <c r="I106" s="4" t="inlineStr">
        <is>
          <t>5</t>
        </is>
      </c>
      <c r="J106" s="4" t="inlineStr">
        <is>
          <t>E4</t>
        </is>
      </c>
      <c r="K106" s="4" t="n">
        <v>7</v>
      </c>
      <c r="L106" s="4">
        <f>IF(OR(C106&lt;&gt;C105,K106="",K105=""),"",K106-K105)</f>
        <v/>
      </c>
      <c r="M106" s="4">
        <f>IF(L106="","",IF(L106=0,"repeat",IF(ABS(L106)&lt;=2,"step","leap")))</f>
        <v/>
      </c>
      <c r="N106" s="4">
        <f>IF(F106&lt;&gt;F105,"Y","")</f>
        <v/>
      </c>
      <c r="O106" s="5" t="inlineStr">
        <is>
          <t>Y</t>
        </is>
      </c>
      <c r="P106" s="5" t="inlineStr">
        <is>
          <t>S</t>
        </is>
      </c>
      <c r="Q106" s="5" t="inlineStr">
        <is>
          <t>closed</t>
        </is>
      </c>
      <c r="R106" s="6" t="n"/>
      <c r="S106" s="4" t="n"/>
      <c r="T106" s="4" t="n"/>
      <c r="U106" s="7" t="inlineStr"/>
    </row>
    <row r="107">
      <c r="A107" s="4" t="inlineStr">
        <is>
          <t>chorus</t>
        </is>
      </c>
      <c r="B107" s="4" t="inlineStr">
        <is>
          <t>ch4</t>
        </is>
      </c>
      <c r="C107" s="4" t="inlineStr">
        <is>
          <t>lead</t>
        </is>
      </c>
      <c r="D107" s="4" t="n">
        <v>4</v>
      </c>
      <c r="E107" s="4" t="n">
        <v>3.5</v>
      </c>
      <c r="F107" s="4" t="inlineStr">
        <is>
          <t>V</t>
        </is>
      </c>
      <c r="G107" s="4" t="inlineStr">
        <is>
          <t>E</t>
        </is>
      </c>
      <c r="H107" s="4" t="inlineStr">
        <is>
          <t>D</t>
        </is>
      </c>
      <c r="I107" s="4" t="inlineStr">
        <is>
          <t>5</t>
        </is>
      </c>
      <c r="J107" s="4" t="inlineStr">
        <is>
          <t>E4</t>
        </is>
      </c>
      <c r="K107" s="4" t="n">
        <v>7</v>
      </c>
      <c r="L107" s="4">
        <f>IF(OR(C107&lt;&gt;C106,K107="",K106=""),"",K107-K106)</f>
        <v/>
      </c>
      <c r="M107" s="4">
        <f>IF(L107="","",IF(L107=0,"repeat",IF(ABS(L107)&lt;=2,"step","leap")))</f>
        <v/>
      </c>
      <c r="N107" s="4">
        <f>IF(F107&lt;&gt;F106,"Y","")</f>
        <v/>
      </c>
      <c r="O107" s="5" t="inlineStr">
        <is>
          <t>Y</t>
        </is>
      </c>
      <c r="P107" s="5" t="inlineStr">
        <is>
          <t>S</t>
        </is>
      </c>
      <c r="Q107" s="5" t="inlineStr">
        <is>
          <t>closed</t>
        </is>
      </c>
      <c r="R107" s="6" t="n"/>
      <c r="S107" s="4" t="n"/>
      <c r="T107" s="4" t="n"/>
      <c r="U107" s="7" t="inlineStr">
        <is>
          <t>(D.S.2x extra tag: three more chant notes, approx)</t>
        </is>
      </c>
    </row>
    <row r="108">
      <c r="A108" s="4" t="inlineStr">
        <is>
          <t>chorus</t>
        </is>
      </c>
      <c r="B108" s="4" t="inlineStr">
        <is>
          <t>ch4</t>
        </is>
      </c>
      <c r="C108" s="4" t="inlineStr">
        <is>
          <t>lead</t>
        </is>
      </c>
      <c r="D108" s="4" t="n">
        <v>4</v>
      </c>
      <c r="E108" s="4" t="n">
        <v>4</v>
      </c>
      <c r="F108" s="4" t="inlineStr">
        <is>
          <t>V</t>
        </is>
      </c>
      <c r="G108" s="4" t="inlineStr">
        <is>
          <t>E</t>
        </is>
      </c>
      <c r="H108" s="4" t="inlineStr">
        <is>
          <t>D</t>
        </is>
      </c>
      <c r="I108" s="4" t="inlineStr">
        <is>
          <t>5</t>
        </is>
      </c>
      <c r="J108" s="4" t="inlineStr">
        <is>
          <t>E4</t>
        </is>
      </c>
      <c r="K108" s="4" t="n">
        <v>7</v>
      </c>
      <c r="L108" s="4">
        <f>IF(OR(C108&lt;&gt;C107,K108="",K107=""),"",K108-K107)</f>
        <v/>
      </c>
      <c r="M108" s="4">
        <f>IF(L108="","",IF(L108=0,"repeat",IF(ABS(L108)&lt;=2,"step","leap")))</f>
        <v/>
      </c>
      <c r="N108" s="4">
        <f>IF(F108&lt;&gt;F107,"Y","")</f>
        <v/>
      </c>
      <c r="O108" s="5" t="inlineStr">
        <is>
          <t>Y</t>
        </is>
      </c>
      <c r="P108" s="5" t="inlineStr">
        <is>
          <t>u</t>
        </is>
      </c>
      <c r="Q108" s="5" t="inlineStr">
        <is>
          <t>closed</t>
        </is>
      </c>
      <c r="R108" s="6" t="n"/>
      <c r="S108" s="4" t="n"/>
      <c r="T108" s="4" t="n"/>
      <c r="U108" s="7" t="inlineStr">
        <is>
          <t>D.S.2x only</t>
        </is>
      </c>
    </row>
    <row r="109">
      <c r="A109" s="4" t="inlineStr">
        <is>
          <t>chorus</t>
        </is>
      </c>
      <c r="B109" s="4" t="inlineStr">
        <is>
          <t>ch4</t>
        </is>
      </c>
      <c r="C109" s="4" t="inlineStr">
        <is>
          <t>lead</t>
        </is>
      </c>
      <c r="D109" s="4" t="n">
        <v>4</v>
      </c>
      <c r="E109" s="4" t="n">
        <v>4.5</v>
      </c>
      <c r="F109" s="4" t="inlineStr">
        <is>
          <t>V</t>
        </is>
      </c>
      <c r="G109" s="4" t="inlineStr">
        <is>
          <t>E</t>
        </is>
      </c>
      <c r="H109" s="4" t="inlineStr">
        <is>
          <t>D</t>
        </is>
      </c>
      <c r="I109" s="4" t="inlineStr">
        <is>
          <t>5</t>
        </is>
      </c>
      <c r="J109" s="4" t="inlineStr">
        <is>
          <t>E4</t>
        </is>
      </c>
      <c r="K109" s="4" t="n">
        <v>7</v>
      </c>
      <c r="L109" s="4">
        <f>IF(OR(C109&lt;&gt;C108,K109="",K108=""),"",K109-K108)</f>
        <v/>
      </c>
      <c r="M109" s="4">
        <f>IF(L109="","",IF(L109=0,"repeat",IF(ABS(L109)&lt;=2,"step","leap")))</f>
        <v/>
      </c>
      <c r="N109" s="4">
        <f>IF(F109&lt;&gt;F108,"Y","")</f>
        <v/>
      </c>
      <c r="O109" s="5" t="inlineStr">
        <is>
          <t>Y</t>
        </is>
      </c>
      <c r="P109" s="5" t="inlineStr">
        <is>
          <t>u</t>
        </is>
      </c>
      <c r="Q109" s="5" t="inlineStr">
        <is>
          <t>closed</t>
        </is>
      </c>
      <c r="R109" s="6" t="n"/>
      <c r="S109" s="4" t="n"/>
      <c r="T109" s="4" t="n"/>
      <c r="U109" s="7" t="inlineStr">
        <is>
          <t>D.S.2x only</t>
        </is>
      </c>
    </row>
    <row r="110">
      <c r="A110" s="4" t="inlineStr">
        <is>
          <t>chorus</t>
        </is>
      </c>
      <c r="B110" s="4" t="inlineStr">
        <is>
          <t>falls</t>
        </is>
      </c>
      <c r="C110" s="4" t="inlineStr">
        <is>
          <t>chorus</t>
        </is>
      </c>
      <c r="D110" s="4" t="n">
        <v>1</v>
      </c>
      <c r="E110" s="4" t="n">
        <v>3</v>
      </c>
      <c r="F110" s="4" t="inlineStr">
        <is>
          <t>bIII</t>
        </is>
      </c>
      <c r="G110" s="4" t="inlineStr">
        <is>
          <t>C</t>
        </is>
      </c>
      <c r="H110" s="4" t="inlineStr">
        <is>
          <t>PD</t>
        </is>
      </c>
      <c r="I110" s="4" t="inlineStr">
        <is>
          <t>b7</t>
        </is>
      </c>
      <c r="J110" s="4" t="inlineStr">
        <is>
          <t>G4</t>
        </is>
      </c>
      <c r="K110" s="4" t="n">
        <v>10</v>
      </c>
      <c r="L110" s="4">
        <f>IF(OR(C110&lt;&gt;C109,K110="",K109=""),"",K110-K109)</f>
        <v/>
      </c>
      <c r="M110" s="4">
        <f>IF(L110="","",IF(L110=0,"repeat",IF(ABS(L110)&lt;=2,"step","leap")))</f>
        <v/>
      </c>
      <c r="N110" s="4">
        <f>IF(F110&lt;&gt;F109,"Y","")</f>
        <v/>
      </c>
      <c r="O110" s="5" t="inlineStr">
        <is>
          <t>N</t>
        </is>
      </c>
      <c r="P110" s="5" t="inlineStr">
        <is>
          <t>S</t>
        </is>
      </c>
      <c r="Q110" s="5" t="inlineStr">
        <is>
          <t>open</t>
        </is>
      </c>
      <c r="R110" s="6" t="n"/>
      <c r="S110" s="4" t="n"/>
      <c r="T110" s="4" t="n"/>
      <c r="U110" s="7" t="inlineStr">
        <is>
          <t>backing 'Chorus' staff: half-note wail with engraved natural + fall/gliss line</t>
        </is>
      </c>
    </row>
    <row r="111">
      <c r="A111" s="4" t="inlineStr">
        <is>
          <t>chorus</t>
        </is>
      </c>
      <c r="B111" s="4" t="inlineStr">
        <is>
          <t>falls</t>
        </is>
      </c>
      <c r="C111" s="4" t="inlineStr">
        <is>
          <t>chorus</t>
        </is>
      </c>
      <c r="D111" s="4" t="n">
        <v>2</v>
      </c>
      <c r="E111" s="4" t="n">
        <v>3</v>
      </c>
      <c r="F111" s="4" t="inlineStr">
        <is>
          <t>IV</t>
        </is>
      </c>
      <c r="G111" s="4" t="inlineStr">
        <is>
          <t>D</t>
        </is>
      </c>
      <c r="H111" s="4" t="inlineStr">
        <is>
          <t>PD</t>
        </is>
      </c>
      <c r="I111" s="4" t="inlineStr">
        <is>
          <t>1</t>
        </is>
      </c>
      <c r="J111" s="4" t="inlineStr">
        <is>
          <t>A4</t>
        </is>
      </c>
      <c r="K111" s="4" t="n">
        <v>12</v>
      </c>
      <c r="L111" s="4">
        <f>IF(OR(C111&lt;&gt;C110,K111="",K110=""),"",K111-K110)</f>
        <v/>
      </c>
      <c r="M111" s="4">
        <f>IF(L111="","",IF(L111=0,"repeat",IF(ABS(L111)&lt;=2,"step","leap")))</f>
        <v/>
      </c>
      <c r="N111" s="4">
        <f>IF(F111&lt;&gt;F110,"Y","")</f>
        <v/>
      </c>
      <c r="O111" s="5" t="inlineStr">
        <is>
          <t>N</t>
        </is>
      </c>
      <c r="P111" s="5" t="inlineStr">
        <is>
          <t>S</t>
        </is>
      </c>
      <c r="Q111" s="5" t="inlineStr">
        <is>
          <t>open</t>
        </is>
      </c>
      <c r="R111" s="6" t="n"/>
      <c r="S111" s="4" t="n"/>
      <c r="T111" s="4" t="n"/>
      <c r="U111" s="7" t="inlineStr">
        <is>
          <t>next wail a step up, again with a written fall (approx)</t>
        </is>
      </c>
    </row>
    <row r="112">
      <c r="A112" s="4" t="inlineStr">
        <is>
          <t>chorus</t>
        </is>
      </c>
      <c r="B112" s="4" t="inlineStr">
        <is>
          <t>falls</t>
        </is>
      </c>
      <c r="C112" s="4" t="inlineStr">
        <is>
          <t>chorus</t>
        </is>
      </c>
      <c r="D112" s="4" t="n">
        <v>3</v>
      </c>
      <c r="E112" s="4" t="n">
        <v>3</v>
      </c>
      <c r="F112" s="4" t="inlineStr">
        <is>
          <t>V</t>
        </is>
      </c>
      <c r="G112" s="4" t="inlineStr">
        <is>
          <t>E</t>
        </is>
      </c>
      <c r="H112" s="4" t="inlineStr">
        <is>
          <t>D</t>
        </is>
      </c>
      <c r="I112" s="4" t="inlineStr">
        <is>
          <t>1</t>
        </is>
      </c>
      <c r="J112" s="4" t="inlineStr">
        <is>
          <t>A4</t>
        </is>
      </c>
      <c r="K112" s="4" t="n">
        <v>12</v>
      </c>
      <c r="L112" s="4">
        <f>IF(OR(C112&lt;&gt;C111,K112="",K111=""),"",K112-K111)</f>
        <v/>
      </c>
      <c r="M112" s="4">
        <f>IF(L112="","",IF(L112=0,"repeat",IF(ABS(L112)&lt;=2,"step","leap")))</f>
        <v/>
      </c>
      <c r="N112" s="4">
        <f>IF(F112&lt;&gt;F111,"Y","")</f>
        <v/>
      </c>
      <c r="O112" s="5" t="inlineStr">
        <is>
          <t>N</t>
        </is>
      </c>
      <c r="P112" s="5" t="inlineStr">
        <is>
          <t>S</t>
        </is>
      </c>
      <c r="Q112" s="5" t="inlineStr">
        <is>
          <t>open</t>
        </is>
      </c>
      <c r="R112" s="6" t="n"/>
      <c r="S112" s="4" t="n"/>
      <c r="T112" s="4" t="n"/>
      <c r="U112" s="7" t="inlineStr">
        <is>
          <t>third wail + fall; D.S.2x marking (approx - engraved at the same height as bar 2)</t>
        </is>
      </c>
    </row>
    <row r="113">
      <c r="A113" s="4" t="inlineStr">
        <is>
          <t>cryingB</t>
        </is>
      </c>
      <c r="B113" s="4" t="inlineStr">
        <is>
          <t>cryB1</t>
        </is>
      </c>
      <c r="C113" s="4" t="inlineStr">
        <is>
          <t>lead</t>
        </is>
      </c>
      <c r="D113" s="4" t="n">
        <v>1</v>
      </c>
      <c r="E113" s="4" t="n">
        <v>1</v>
      </c>
      <c r="F113" s="4" t="inlineStr">
        <is>
          <t>IVsus4</t>
        </is>
      </c>
      <c r="G113" s="4" t="inlineStr">
        <is>
          <t>Dsus4</t>
        </is>
      </c>
      <c r="H113" s="4" t="inlineStr">
        <is>
          <t>T</t>
        </is>
      </c>
      <c r="I113" s="4" t="inlineStr">
        <is>
          <t>b7</t>
        </is>
      </c>
      <c r="J113" s="4" t="inlineStr">
        <is>
          <t>G4</t>
        </is>
      </c>
      <c r="K113" s="4" t="n">
        <v>10</v>
      </c>
      <c r="L113" s="4">
        <f>IF(OR(C113&lt;&gt;C112,K113="",K112=""),"",K113-K112)</f>
        <v/>
      </c>
      <c r="M113" s="4">
        <f>IF(L113="","",IF(L113=0,"repeat",IF(ABS(L113)&lt;=2,"step","leap")))</f>
        <v/>
      </c>
      <c r="N113" s="4">
        <f>IF(F113&lt;&gt;F112,"Y","")</f>
        <v/>
      </c>
      <c r="O113" s="5" t="inlineStr">
        <is>
          <t>Y</t>
        </is>
      </c>
      <c r="P113" s="5" t="inlineStr">
        <is>
          <t>S</t>
        </is>
      </c>
      <c r="Q113" s="5" t="inlineStr">
        <is>
          <t>open</t>
        </is>
      </c>
      <c r="R113" s="6" t="n"/>
      <c r="S113" s="4" t="n"/>
      <c r="T113" s="4" t="n"/>
      <c r="U113" s="7" t="inlineStr">
        <is>
          <t>engraved NATURAL whole note - the b7 blue note IS the sus4 of the chord; held ~1.5 bars</t>
        </is>
      </c>
    </row>
    <row r="114">
      <c r="A114" s="4" t="inlineStr">
        <is>
          <t>cryingB</t>
        </is>
      </c>
      <c r="B114" s="4" t="inlineStr">
        <is>
          <t>cryB2</t>
        </is>
      </c>
      <c r="C114" s="4" t="inlineStr">
        <is>
          <t>lead</t>
        </is>
      </c>
      <c r="D114" s="4" t="n">
        <v>2</v>
      </c>
      <c r="E114" s="4" t="n">
        <v>2</v>
      </c>
      <c r="F114" s="4" t="inlineStr">
        <is>
          <t>IV</t>
        </is>
      </c>
      <c r="G114" s="4" t="inlineStr">
        <is>
          <t>D</t>
        </is>
      </c>
      <c r="H114" s="4" t="inlineStr">
        <is>
          <t>T</t>
        </is>
      </c>
      <c r="I114" s="4" t="inlineStr">
        <is>
          <t>b7</t>
        </is>
      </c>
      <c r="J114" s="4" t="inlineStr">
        <is>
          <t>G4</t>
        </is>
      </c>
      <c r="K114" s="4" t="n">
        <v>10</v>
      </c>
      <c r="L114" s="4">
        <f>IF(OR(C114&lt;&gt;C113,K114="",K113=""),"",K114-K113)</f>
        <v/>
      </c>
      <c r="M114" s="4">
        <f>IF(L114="","",IF(L114=0,"repeat",IF(ABS(L114)&lt;=2,"step","leap")))</f>
        <v/>
      </c>
      <c r="N114" s="4">
        <f>IF(F114&lt;&gt;F113,"Y","")</f>
        <v/>
      </c>
      <c r="O114" s="5" t="inlineStr">
        <is>
          <t>N</t>
        </is>
      </c>
      <c r="P114" s="5" t="inlineStr">
        <is>
          <t>u</t>
        </is>
      </c>
      <c r="Q114" s="5" t="inlineStr">
        <is>
          <t>closed</t>
        </is>
      </c>
      <c r="R114" s="6" t="n"/>
      <c r="S114" s="4" t="n"/>
      <c r="T114" s="4" t="n"/>
      <c r="U114" s="7" t="inlineStr">
        <is>
          <t>tail of the tie; syllable change on the last 8th (approx beat)</t>
        </is>
      </c>
    </row>
    <row r="115">
      <c r="A115" s="4" t="inlineStr">
        <is>
          <t>cryingB</t>
        </is>
      </c>
      <c r="B115" s="4" t="inlineStr">
        <is>
          <t>cryB2</t>
        </is>
      </c>
      <c r="C115" s="4" t="inlineStr">
        <is>
          <t>lead</t>
        </is>
      </c>
      <c r="D115" s="4" t="n">
        <v>2</v>
      </c>
      <c r="E115" s="4" t="n">
        <v>4.5</v>
      </c>
      <c r="F115" s="4" t="inlineStr">
        <is>
          <t>IV</t>
        </is>
      </c>
      <c r="G115" s="4" t="inlineStr">
        <is>
          <t>D</t>
        </is>
      </c>
      <c r="H115" s="4" t="inlineStr">
        <is>
          <t>T</t>
        </is>
      </c>
      <c r="I115" s="4" t="inlineStr">
        <is>
          <t>2</t>
        </is>
      </c>
      <c r="J115" s="4" t="inlineStr">
        <is>
          <t>B3</t>
        </is>
      </c>
      <c r="K115" s="4" t="n">
        <v>2</v>
      </c>
      <c r="L115" s="4">
        <f>IF(OR(C115&lt;&gt;C114,K115="",K114=""),"",K115-K114)</f>
        <v/>
      </c>
      <c r="M115" s="4">
        <f>IF(L115="","",IF(L115=0,"repeat",IF(ABS(L115)&lt;=2,"step","leap")))</f>
        <v/>
      </c>
      <c r="N115" s="4">
        <f>IF(F115&lt;&gt;F114,"Y","")</f>
        <v/>
      </c>
      <c r="O115" s="5" t="inlineStr">
        <is>
          <t>N</t>
        </is>
      </c>
      <c r="P115" s="5" t="inlineStr">
        <is>
          <t>u</t>
        </is>
      </c>
      <c r="Q115" s="5" t="inlineStr">
        <is>
          <t>open</t>
        </is>
      </c>
      <c r="R115" s="6" t="n"/>
      <c r="S115" s="4" t="n"/>
      <c r="T115" s="4" t="n"/>
      <c r="U115" s="7" t="inlineStr">
        <is>
          <t>pickup (approx)</t>
        </is>
      </c>
    </row>
    <row r="116">
      <c r="A116" s="4" t="inlineStr">
        <is>
          <t>cryingB</t>
        </is>
      </c>
      <c r="B116" s="4" t="inlineStr">
        <is>
          <t>cryB3</t>
        </is>
      </c>
      <c r="C116" s="4" t="inlineStr">
        <is>
          <t>lead</t>
        </is>
      </c>
      <c r="D116" s="4" t="n">
        <v>3</v>
      </c>
      <c r="E116" s="4" t="n">
        <v>1</v>
      </c>
      <c r="F116" s="4" t="inlineStr">
        <is>
          <t>I</t>
        </is>
      </c>
      <c r="G116" s="4" t="inlineStr">
        <is>
          <t>A</t>
        </is>
      </c>
      <c r="H116" s="4" t="inlineStr">
        <is>
          <t>T</t>
        </is>
      </c>
      <c r="I116" s="4" t="inlineStr">
        <is>
          <t>3</t>
        </is>
      </c>
      <c r="J116" s="4" t="inlineStr">
        <is>
          <t>C#4</t>
        </is>
      </c>
      <c r="K116" s="4" t="n">
        <v>4</v>
      </c>
      <c r="L116" s="4">
        <f>IF(OR(C116&lt;&gt;C115,K116="",K115=""),"",K116-K115)</f>
        <v/>
      </c>
      <c r="M116" s="4">
        <f>IF(L116="","",IF(L116=0,"repeat",IF(ABS(L116)&lt;=2,"step","leap")))</f>
        <v/>
      </c>
      <c r="N116" s="4">
        <f>IF(F116&lt;&gt;F115,"Y","")</f>
        <v/>
      </c>
      <c r="O116" s="5" t="inlineStr">
        <is>
          <t>Y</t>
        </is>
      </c>
      <c r="P116" s="5" t="inlineStr">
        <is>
          <t>S</t>
        </is>
      </c>
      <c r="Q116" s="5" t="inlineStr">
        <is>
          <t>open</t>
        </is>
      </c>
      <c r="R116" s="6" t="n"/>
      <c r="S116" s="4" t="n"/>
      <c r="T116" s="4" t="n"/>
      <c r="U116" s="7" t="inlineStr">
        <is>
          <t>the refrain turn figure returns verbatim</t>
        </is>
      </c>
    </row>
    <row r="117">
      <c r="A117" s="4" t="inlineStr">
        <is>
          <t>cryingB</t>
        </is>
      </c>
      <c r="B117" s="4" t="inlineStr">
        <is>
          <t>cryB3</t>
        </is>
      </c>
      <c r="C117" s="4" t="inlineStr">
        <is>
          <t>lead</t>
        </is>
      </c>
      <c r="D117" s="4" t="n">
        <v>3</v>
      </c>
      <c r="E117" s="4" t="n">
        <v>1.25</v>
      </c>
      <c r="F117" s="4" t="inlineStr">
        <is>
          <t>I</t>
        </is>
      </c>
      <c r="G117" s="4" t="inlineStr">
        <is>
          <t>A</t>
        </is>
      </c>
      <c r="H117" s="4" t="inlineStr">
        <is>
          <t>T</t>
        </is>
      </c>
      <c r="I117" s="4" t="inlineStr">
        <is>
          <t>4</t>
        </is>
      </c>
      <c r="J117" s="4" t="inlineStr">
        <is>
          <t>D4</t>
        </is>
      </c>
      <c r="K117" s="4" t="n">
        <v>5</v>
      </c>
      <c r="L117" s="4">
        <f>IF(OR(C117&lt;&gt;C116,K117="",K116=""),"",K117-K116)</f>
        <v/>
      </c>
      <c r="M117" s="4">
        <f>IF(L117="","",IF(L117=0,"repeat",IF(ABS(L117)&lt;=2,"step","leap")))</f>
        <v/>
      </c>
      <c r="N117" s="4">
        <f>IF(F117&lt;&gt;F116,"Y","")</f>
        <v/>
      </c>
      <c r="O117" s="5" t="inlineStr">
        <is>
          <t>N</t>
        </is>
      </c>
      <c r="P117" s="5" t="inlineStr">
        <is>
          <t>u</t>
        </is>
      </c>
      <c r="Q117" s="5" t="inlineStr">
        <is>
          <t>open</t>
        </is>
      </c>
      <c r="R117" s="6" t="n"/>
      <c r="S117" s="4" t="n"/>
      <c r="T117" s="4" t="n"/>
      <c r="U117" s="7" t="inlineStr"/>
    </row>
    <row r="118">
      <c r="A118" s="4" t="inlineStr">
        <is>
          <t>cryingB</t>
        </is>
      </c>
      <c r="B118" s="4" t="inlineStr">
        <is>
          <t>cryB3</t>
        </is>
      </c>
      <c r="C118" s="4" t="inlineStr">
        <is>
          <t>lead</t>
        </is>
      </c>
      <c r="D118" s="4" t="n">
        <v>3</v>
      </c>
      <c r="E118" s="4" t="n">
        <v>1.5</v>
      </c>
      <c r="F118" s="4" t="inlineStr">
        <is>
          <t>I</t>
        </is>
      </c>
      <c r="G118" s="4" t="inlineStr">
        <is>
          <t>A</t>
        </is>
      </c>
      <c r="H118" s="4" t="inlineStr">
        <is>
          <t>T</t>
        </is>
      </c>
      <c r="I118" s="4" t="inlineStr">
        <is>
          <t>3</t>
        </is>
      </c>
      <c r="J118" s="4" t="inlineStr">
        <is>
          <t>C#4</t>
        </is>
      </c>
      <c r="K118" s="4" t="n">
        <v>4</v>
      </c>
      <c r="L118" s="4">
        <f>IF(OR(C118&lt;&gt;C117,K118="",K117=""),"",K118-K117)</f>
        <v/>
      </c>
      <c r="M118" s="4">
        <f>IF(L118="","",IF(L118=0,"repeat",IF(ABS(L118)&lt;=2,"step","leap")))</f>
        <v/>
      </c>
      <c r="N118" s="4">
        <f>IF(F118&lt;&gt;F117,"Y","")</f>
        <v/>
      </c>
      <c r="O118" s="5" t="inlineStr">
        <is>
          <t>Y</t>
        </is>
      </c>
      <c r="P118" s="5" t="inlineStr">
        <is>
          <t>u</t>
        </is>
      </c>
      <c r="Q118" s="5" t="inlineStr">
        <is>
          <t>open</t>
        </is>
      </c>
      <c r="R118" s="6" t="n"/>
      <c r="S118" s="4" t="n"/>
      <c r="T118" s="4" t="n"/>
      <c r="U118" s="7" t="inlineStr"/>
    </row>
    <row r="119">
      <c r="A119" s="4" t="inlineStr">
        <is>
          <t>cryingB</t>
        </is>
      </c>
      <c r="B119" s="4" t="inlineStr">
        <is>
          <t>cryB3</t>
        </is>
      </c>
      <c r="C119" s="4" t="inlineStr">
        <is>
          <t>lead</t>
        </is>
      </c>
      <c r="D119" s="4" t="n">
        <v>3</v>
      </c>
      <c r="E119" s="4" t="n">
        <v>1.75</v>
      </c>
      <c r="F119" s="4" t="inlineStr">
        <is>
          <t>I</t>
        </is>
      </c>
      <c r="G119" s="4" t="inlineStr">
        <is>
          <t>A</t>
        </is>
      </c>
      <c r="H119" s="4" t="inlineStr">
        <is>
          <t>T</t>
        </is>
      </c>
      <c r="I119" s="4" t="inlineStr">
        <is>
          <t>2</t>
        </is>
      </c>
      <c r="J119" s="4" t="inlineStr">
        <is>
          <t>B3</t>
        </is>
      </c>
      <c r="K119" s="4" t="n">
        <v>2</v>
      </c>
      <c r="L119" s="4">
        <f>IF(OR(C119&lt;&gt;C118,K119="",K118=""),"",K119-K118)</f>
        <v/>
      </c>
      <c r="M119" s="4">
        <f>IF(L119="","",IF(L119=0,"repeat",IF(ABS(L119)&lt;=2,"step","leap")))</f>
        <v/>
      </c>
      <c r="N119" s="4">
        <f>IF(F119&lt;&gt;F118,"Y","")</f>
        <v/>
      </c>
      <c r="O119" s="5" t="inlineStr">
        <is>
          <t>N</t>
        </is>
      </c>
      <c r="P119" s="5" t="inlineStr">
        <is>
          <t>u</t>
        </is>
      </c>
      <c r="Q119" s="5" t="inlineStr">
        <is>
          <t>closed</t>
        </is>
      </c>
      <c r="R119" s="6" t="n"/>
      <c r="S119" s="4" t="n"/>
      <c r="T119" s="4" t="n"/>
      <c r="U119" s="7" t="inlineStr"/>
    </row>
    <row r="120">
      <c r="A120" s="4" t="inlineStr">
        <is>
          <t>cryingB</t>
        </is>
      </c>
      <c r="B120" s="4" t="inlineStr">
        <is>
          <t>cryB3</t>
        </is>
      </c>
      <c r="C120" s="4" t="inlineStr">
        <is>
          <t>lead</t>
        </is>
      </c>
      <c r="D120" s="4" t="n">
        <v>3</v>
      </c>
      <c r="E120" s="4" t="n">
        <v>2</v>
      </c>
      <c r="F120" s="4" t="inlineStr">
        <is>
          <t>I</t>
        </is>
      </c>
      <c r="G120" s="4" t="inlineStr">
        <is>
          <t>A</t>
        </is>
      </c>
      <c r="H120" s="4" t="inlineStr">
        <is>
          <t>T</t>
        </is>
      </c>
      <c r="I120" s="4" t="inlineStr">
        <is>
          <t>1</t>
        </is>
      </c>
      <c r="J120" s="4" t="inlineStr">
        <is>
          <t>A3</t>
        </is>
      </c>
      <c r="K120" s="4" t="n">
        <v>0</v>
      </c>
      <c r="L120" s="4">
        <f>IF(OR(C120&lt;&gt;C119,K120="",K119=""),"",K120-K119)</f>
        <v/>
      </c>
      <c r="M120" s="4">
        <f>IF(L120="","",IF(L120=0,"repeat",IF(ABS(L120)&lt;=2,"step","leap")))</f>
        <v/>
      </c>
      <c r="N120" s="4">
        <f>IF(F120&lt;&gt;F119,"Y","")</f>
        <v/>
      </c>
      <c r="O120" s="5" t="inlineStr">
        <is>
          <t>Y</t>
        </is>
      </c>
      <c r="P120" s="5" t="inlineStr">
        <is>
          <t>u</t>
        </is>
      </c>
      <c r="Q120" s="5" t="inlineStr">
        <is>
          <t>closed</t>
        </is>
      </c>
      <c r="R120" s="6" t="n"/>
      <c r="S120" s="4" t="n"/>
      <c r="T120" s="4" t="n"/>
      <c r="U120" s="7" t="inlineStr">
        <is>
          <t>quarter, closes on 1</t>
        </is>
      </c>
    </row>
    <row r="121">
      <c r="A121" s="4" t="inlineStr">
        <is>
          <t>cryingB</t>
        </is>
      </c>
      <c r="B121" s="4" t="inlineStr">
        <is>
          <t>cryB3</t>
        </is>
      </c>
      <c r="C121" s="4" t="inlineStr">
        <is>
          <t>lead</t>
        </is>
      </c>
      <c r="D121" s="4" t="n">
        <v>3</v>
      </c>
      <c r="E121" s="4" t="n">
        <v>4.5</v>
      </c>
      <c r="F121" s="4" t="inlineStr">
        <is>
          <t>I</t>
        </is>
      </c>
      <c r="G121" s="4" t="inlineStr">
        <is>
          <t>A</t>
        </is>
      </c>
      <c r="H121" s="4" t="inlineStr">
        <is>
          <t>T</t>
        </is>
      </c>
      <c r="I121" s="4" t="inlineStr">
        <is>
          <t>1</t>
        </is>
      </c>
      <c r="J121" s="4" t="inlineStr">
        <is>
          <t>A3</t>
        </is>
      </c>
      <c r="K121" s="4" t="n">
        <v>0</v>
      </c>
      <c r="L121" s="4">
        <f>IF(OR(C121&lt;&gt;C120,K121="",K120=""),"",K121-K120)</f>
        <v/>
      </c>
      <c r="M121" s="4">
        <f>IF(L121="","",IF(L121=0,"repeat",IF(ABS(L121)&lt;=2,"step","leap")))</f>
        <v/>
      </c>
      <c r="N121" s="4">
        <f>IF(F121&lt;&gt;F120,"Y","")</f>
        <v/>
      </c>
      <c r="O121" s="5" t="inlineStr">
        <is>
          <t>Y</t>
        </is>
      </c>
      <c r="P121" s="5" t="inlineStr">
        <is>
          <t>u</t>
        </is>
      </c>
      <c r="Q121" s="5" t="inlineStr">
        <is>
          <t>open</t>
        </is>
      </c>
      <c r="R121" s="6" t="n"/>
      <c r="S121" s="4" t="n"/>
      <c r="T121" s="4" t="n"/>
      <c r="U121" s="7" t="inlineStr">
        <is>
          <t>pickup 8th (approx)</t>
        </is>
      </c>
    </row>
    <row r="122">
      <c r="A122" s="4" t="inlineStr">
        <is>
          <t>cryingB</t>
        </is>
      </c>
      <c r="B122" s="4" t="inlineStr">
        <is>
          <t>cryB4</t>
        </is>
      </c>
      <c r="C122" s="4" t="inlineStr">
        <is>
          <t>lead</t>
        </is>
      </c>
      <c r="D122" s="4" t="n">
        <v>4</v>
      </c>
      <c r="E122" s="4" t="n">
        <v>1</v>
      </c>
      <c r="F122" s="4" t="inlineStr">
        <is>
          <t>V</t>
        </is>
      </c>
      <c r="G122" s="4" t="inlineStr">
        <is>
          <t>E</t>
        </is>
      </c>
      <c r="H122" s="4" t="inlineStr">
        <is>
          <t>D</t>
        </is>
      </c>
      <c r="I122" s="4" t="inlineStr">
        <is>
          <t>7</t>
        </is>
      </c>
      <c r="J122" s="4" t="inlineStr">
        <is>
          <t>G#4</t>
        </is>
      </c>
      <c r="K122" s="4" t="n">
        <v>11</v>
      </c>
      <c r="L122" s="4">
        <f>IF(OR(C122&lt;&gt;C121,K122="",K121=""),"",K122-K121)</f>
        <v/>
      </c>
      <c r="M122" s="4">
        <f>IF(L122="","",IF(L122=0,"repeat",IF(ABS(L122)&lt;=2,"step","leap")))</f>
        <v/>
      </c>
      <c r="N122" s="4">
        <f>IF(F122&lt;&gt;F121,"Y","")</f>
        <v/>
      </c>
      <c r="O122" s="5" t="inlineStr">
        <is>
          <t>Y</t>
        </is>
      </c>
      <c r="P122" s="5" t="inlineStr">
        <is>
          <t>S</t>
        </is>
      </c>
      <c r="Q122" s="5" t="inlineStr">
        <is>
          <t>open</t>
        </is>
      </c>
      <c r="R122" s="6" t="n"/>
      <c r="S122" s="4" t="n"/>
      <c r="T122" s="4" t="n"/>
      <c r="U122" s="7" t="inlineStr">
        <is>
          <t>whole note with engraved sharp: the b7 wail is rebuilt as the LEADING TONE over V</t>
        </is>
      </c>
    </row>
    <row r="123">
      <c r="A123" s="4" t="inlineStr">
        <is>
          <t>cryingB</t>
        </is>
      </c>
      <c r="B123" s="4" t="inlineStr">
        <is>
          <t>cryB5</t>
        </is>
      </c>
      <c r="C123" s="4" t="inlineStr">
        <is>
          <t>lead</t>
        </is>
      </c>
      <c r="D123" s="4" t="n">
        <v>5</v>
      </c>
      <c r="E123" s="4" t="n">
        <v>1</v>
      </c>
      <c r="F123" s="4" t="inlineStr">
        <is>
          <t>IV</t>
        </is>
      </c>
      <c r="G123" s="4" t="inlineStr">
        <is>
          <t>D</t>
        </is>
      </c>
      <c r="H123" s="4" t="inlineStr">
        <is>
          <t>D</t>
        </is>
      </c>
      <c r="I123" s="4" t="inlineStr">
        <is>
          <t>1</t>
        </is>
      </c>
      <c r="J123" s="4" t="inlineStr">
        <is>
          <t>A4</t>
        </is>
      </c>
      <c r="K123" s="4" t="n">
        <v>12</v>
      </c>
      <c r="L123" s="4">
        <f>IF(OR(C123&lt;&gt;C122,K123="",K122=""),"",K123-K122)</f>
        <v/>
      </c>
      <c r="M123" s="4">
        <f>IF(L123="","",IF(L123=0,"repeat",IF(ABS(L123)&lt;=2,"step","leap")))</f>
        <v/>
      </c>
      <c r="N123" s="4">
        <f>IF(F123&lt;&gt;F122,"Y","")</f>
        <v/>
      </c>
      <c r="O123" s="5" t="inlineStr">
        <is>
          <t>Y</t>
        </is>
      </c>
      <c r="P123" s="5" t="inlineStr">
        <is>
          <t>u</t>
        </is>
      </c>
      <c r="Q123" s="5" t="inlineStr">
        <is>
          <t>closed</t>
        </is>
      </c>
      <c r="R123" s="6" t="n"/>
      <c r="S123" s="4" t="n"/>
      <c r="T123" s="4" t="n"/>
      <c r="U123" s="7" t="inlineStr">
        <is>
          <t>8th: the G# resolves UP to a high tonic over IV, then drops out (approx octave). D.S. follows</t>
        </is>
      </c>
    </row>
    <row r="124">
      <c r="A124" s="4" t="inlineStr">
        <is>
          <t>garden</t>
        </is>
      </c>
      <c r="B124" s="4" t="inlineStr">
        <is>
          <t>G1</t>
        </is>
      </c>
      <c r="C124" s="4" t="inlineStr">
        <is>
          <t>lead</t>
        </is>
      </c>
      <c r="D124" s="4" t="n">
        <v>1</v>
      </c>
      <c r="E124" s="4" t="n">
        <v>1</v>
      </c>
      <c r="F124" s="4" t="inlineStr">
        <is>
          <t>II</t>
        </is>
      </c>
      <c r="G124" s="4" t="inlineStr">
        <is>
          <t>B</t>
        </is>
      </c>
      <c r="H124" s="4" t="inlineStr">
        <is>
          <t>D</t>
        </is>
      </c>
      <c r="I124" s="4" t="inlineStr">
        <is>
          <t>#4</t>
        </is>
      </c>
      <c r="J124" s="4" t="inlineStr">
        <is>
          <t>D#4</t>
        </is>
      </c>
      <c r="K124" s="4" t="n">
        <v>6</v>
      </c>
      <c r="L124" s="4">
        <f>IF(OR(C124&lt;&gt;C123,K124="",K123=""),"",K124-K123)</f>
        <v/>
      </c>
      <c r="M124" s="4">
        <f>IF(L124="","",IF(L124=0,"repeat",IF(ABS(L124)&lt;=2,"step","leap")))</f>
        <v/>
      </c>
      <c r="N124" s="4">
        <f>IF(F124&lt;&gt;F123,"Y","")</f>
        <v/>
      </c>
      <c r="O124" s="5" t="inlineStr">
        <is>
          <t>Y</t>
        </is>
      </c>
      <c r="P124" s="5" t="inlineStr">
        <is>
          <t>S</t>
        </is>
      </c>
      <c r="Q124" s="5" t="inlineStr">
        <is>
          <t>closed</t>
        </is>
      </c>
      <c r="R124" s="6" t="n"/>
      <c r="S124" s="4" t="n"/>
      <c r="T124" s="4" t="n"/>
      <c r="U124" s="7" t="inlineStr">
        <is>
          <t>new chant height: #4 = 3rd of II; bars 1-5 of the section (over descending B-A-G-F-E) are instrumental before the voice enters at rehearsal E</t>
        </is>
      </c>
    </row>
    <row r="125">
      <c r="A125" s="4" t="inlineStr">
        <is>
          <t>garden</t>
        </is>
      </c>
      <c r="B125" s="4" t="inlineStr">
        <is>
          <t>G1</t>
        </is>
      </c>
      <c r="C125" s="4" t="inlineStr">
        <is>
          <t>lead</t>
        </is>
      </c>
      <c r="D125" s="4" t="n">
        <v>1</v>
      </c>
      <c r="E125" s="4" t="n">
        <v>1.5</v>
      </c>
      <c r="F125" s="4" t="inlineStr">
        <is>
          <t>II</t>
        </is>
      </c>
      <c r="G125" s="4" t="inlineStr">
        <is>
          <t>B</t>
        </is>
      </c>
      <c r="H125" s="4" t="inlineStr">
        <is>
          <t>D</t>
        </is>
      </c>
      <c r="I125" s="4" t="inlineStr">
        <is>
          <t>#4</t>
        </is>
      </c>
      <c r="J125" s="4" t="inlineStr">
        <is>
          <t>D#4</t>
        </is>
      </c>
      <c r="K125" s="4" t="n">
        <v>6</v>
      </c>
      <c r="L125" s="4">
        <f>IF(OR(C125&lt;&gt;C124,K125="",K124=""),"",K125-K124)</f>
        <v/>
      </c>
      <c r="M125" s="4">
        <f>IF(L125="","",IF(L125=0,"repeat",IF(ABS(L125)&lt;=2,"step","leap")))</f>
        <v/>
      </c>
      <c r="N125" s="4">
        <f>IF(F125&lt;&gt;F124,"Y","")</f>
        <v/>
      </c>
      <c r="O125" s="5" t="inlineStr">
        <is>
          <t>Y</t>
        </is>
      </c>
      <c r="P125" s="5" t="inlineStr">
        <is>
          <t>u</t>
        </is>
      </c>
      <c r="Q125" s="5" t="inlineStr">
        <is>
          <t>closed</t>
        </is>
      </c>
      <c r="R125" s="6" t="n"/>
      <c r="S125" s="4" t="n"/>
      <c r="T125" s="4" t="n"/>
      <c r="U125" s="7" t="inlineStr"/>
    </row>
    <row r="126">
      <c r="A126" s="4" t="inlineStr">
        <is>
          <t>garden</t>
        </is>
      </c>
      <c r="B126" s="4" t="inlineStr">
        <is>
          <t>G1</t>
        </is>
      </c>
      <c r="C126" s="4" t="inlineStr">
        <is>
          <t>lead</t>
        </is>
      </c>
      <c r="D126" s="4" t="n">
        <v>1</v>
      </c>
      <c r="E126" s="4" t="n">
        <v>2</v>
      </c>
      <c r="F126" s="4" t="inlineStr">
        <is>
          <t>II</t>
        </is>
      </c>
      <c r="G126" s="4" t="inlineStr">
        <is>
          <t>B</t>
        </is>
      </c>
      <c r="H126" s="4" t="inlineStr">
        <is>
          <t>D</t>
        </is>
      </c>
      <c r="I126" s="4" t="inlineStr">
        <is>
          <t>#4</t>
        </is>
      </c>
      <c r="J126" s="4" t="inlineStr">
        <is>
          <t>D#4</t>
        </is>
      </c>
      <c r="K126" s="4" t="n">
        <v>6</v>
      </c>
      <c r="L126" s="4">
        <f>IF(OR(C126&lt;&gt;C125,K126="",K125=""),"",K126-K125)</f>
        <v/>
      </c>
      <c r="M126" s="4">
        <f>IF(L126="","",IF(L126=0,"repeat",IF(ABS(L126)&lt;=2,"step","leap")))</f>
        <v/>
      </c>
      <c r="N126" s="4">
        <f>IF(F126&lt;&gt;F125,"Y","")</f>
        <v/>
      </c>
      <c r="O126" s="5" t="inlineStr">
        <is>
          <t>Y</t>
        </is>
      </c>
      <c r="P126" s="5" t="inlineStr">
        <is>
          <t>u</t>
        </is>
      </c>
      <c r="Q126" s="5" t="inlineStr">
        <is>
          <t>closed</t>
        </is>
      </c>
      <c r="R126" s="6" t="n"/>
      <c r="S126" s="4" t="n"/>
      <c r="T126" s="4" t="n"/>
      <c r="U126" s="7" t="inlineStr"/>
    </row>
    <row r="127">
      <c r="A127" s="4" t="inlineStr">
        <is>
          <t>garden</t>
        </is>
      </c>
      <c r="B127" s="4" t="inlineStr">
        <is>
          <t>G1</t>
        </is>
      </c>
      <c r="C127" s="4" t="inlineStr">
        <is>
          <t>lead</t>
        </is>
      </c>
      <c r="D127" s="4" t="n">
        <v>1</v>
      </c>
      <c r="E127" s="4" t="n">
        <v>2.5</v>
      </c>
      <c r="F127" s="4" t="inlineStr">
        <is>
          <t>II</t>
        </is>
      </c>
      <c r="G127" s="4" t="inlineStr">
        <is>
          <t>B</t>
        </is>
      </c>
      <c r="H127" s="4" t="inlineStr">
        <is>
          <t>D</t>
        </is>
      </c>
      <c r="I127" s="4" t="inlineStr">
        <is>
          <t>#4</t>
        </is>
      </c>
      <c r="J127" s="4" t="inlineStr">
        <is>
          <t>D#4</t>
        </is>
      </c>
      <c r="K127" s="4" t="n">
        <v>6</v>
      </c>
      <c r="L127" s="4">
        <f>IF(OR(C127&lt;&gt;C126,K127="",K126=""),"",K127-K126)</f>
        <v/>
      </c>
      <c r="M127" s="4">
        <f>IF(L127="","",IF(L127=0,"repeat",IF(ABS(L127)&lt;=2,"step","leap")))</f>
        <v/>
      </c>
      <c r="N127" s="4">
        <f>IF(F127&lt;&gt;F126,"Y","")</f>
        <v/>
      </c>
      <c r="O127" s="5" t="inlineStr">
        <is>
          <t>Y</t>
        </is>
      </c>
      <c r="P127" s="5" t="inlineStr">
        <is>
          <t>u</t>
        </is>
      </c>
      <c r="Q127" s="5" t="inlineStr">
        <is>
          <t>open</t>
        </is>
      </c>
      <c r="R127" s="6" t="n"/>
      <c r="S127" s="4" t="n"/>
      <c r="T127" s="4" t="n"/>
      <c r="U127" s="7" t="inlineStr"/>
    </row>
    <row r="128">
      <c r="A128" s="4" t="inlineStr">
        <is>
          <t>garden</t>
        </is>
      </c>
      <c r="B128" s="4" t="inlineStr">
        <is>
          <t>G1</t>
        </is>
      </c>
      <c r="C128" s="4" t="inlineStr">
        <is>
          <t>lead</t>
        </is>
      </c>
      <c r="D128" s="4" t="n">
        <v>1</v>
      </c>
      <c r="E128" s="4" t="n">
        <v>3</v>
      </c>
      <c r="F128" s="4" t="inlineStr">
        <is>
          <t>II</t>
        </is>
      </c>
      <c r="G128" s="4" t="inlineStr">
        <is>
          <t>B</t>
        </is>
      </c>
      <c r="H128" s="4" t="inlineStr">
        <is>
          <t>D</t>
        </is>
      </c>
      <c r="I128" s="4" t="inlineStr">
        <is>
          <t>3</t>
        </is>
      </c>
      <c r="J128" s="4" t="inlineStr">
        <is>
          <t>C#4</t>
        </is>
      </c>
      <c r="K128" s="4" t="n">
        <v>4</v>
      </c>
      <c r="L128" s="4">
        <f>IF(OR(C128&lt;&gt;C127,K128="",K127=""),"",K128-K127)</f>
        <v/>
      </c>
      <c r="M128" s="4">
        <f>IF(L128="","",IF(L128=0,"repeat",IF(ABS(L128)&lt;=2,"step","leap")))</f>
        <v/>
      </c>
      <c r="N128" s="4">
        <f>IF(F128&lt;&gt;F127,"Y","")</f>
        <v/>
      </c>
      <c r="O128" s="5" t="inlineStr">
        <is>
          <t>N</t>
        </is>
      </c>
      <c r="P128" s="5" t="inlineStr">
        <is>
          <t>S</t>
        </is>
      </c>
      <c r="Q128" s="5" t="inlineStr">
        <is>
          <t>open</t>
        </is>
      </c>
      <c r="R128" s="6" t="n"/>
      <c r="S128" s="4" t="n"/>
      <c r="T128" s="4" t="n"/>
      <c r="U128" s="7" t="inlineStr">
        <is>
          <t>quarter, dips (approx)</t>
        </is>
      </c>
    </row>
    <row r="129">
      <c r="A129" s="4" t="inlineStr">
        <is>
          <t>garden</t>
        </is>
      </c>
      <c r="B129" s="4" t="inlineStr">
        <is>
          <t>G1</t>
        </is>
      </c>
      <c r="C129" s="4" t="inlineStr">
        <is>
          <t>lead</t>
        </is>
      </c>
      <c r="D129" s="4" t="n">
        <v>2</v>
      </c>
      <c r="E129" s="4" t="n">
        <v>1</v>
      </c>
      <c r="F129" s="4" t="inlineStr">
        <is>
          <t>I</t>
        </is>
      </c>
      <c r="G129" s="4" t="inlineStr">
        <is>
          <t>A</t>
        </is>
      </c>
      <c r="H129" s="4" t="inlineStr">
        <is>
          <t>T</t>
        </is>
      </c>
      <c r="I129" s="4" t="inlineStr">
        <is>
          <t>6</t>
        </is>
      </c>
      <c r="J129" s="4" t="inlineStr">
        <is>
          <t>F#4</t>
        </is>
      </c>
      <c r="K129" s="4" t="n">
        <v>9</v>
      </c>
      <c r="L129" s="4">
        <f>IF(OR(C129&lt;&gt;C128,K129="",K128=""),"",K129-K128)</f>
        <v/>
      </c>
      <c r="M129" s="4">
        <f>IF(L129="","",IF(L129=0,"repeat",IF(ABS(L129)&lt;=2,"step","leap")))</f>
        <v/>
      </c>
      <c r="N129" s="4">
        <f>IF(F129&lt;&gt;F128,"Y","")</f>
        <v/>
      </c>
      <c r="O129" s="5" t="inlineStr">
        <is>
          <t>N</t>
        </is>
      </c>
      <c r="P129" s="5" t="inlineStr">
        <is>
          <t>S</t>
        </is>
      </c>
      <c r="Q129" s="5" t="inlineStr">
        <is>
          <t>closed</t>
        </is>
      </c>
      <c r="R129" s="6" t="n"/>
      <c r="S129" s="4" t="n"/>
      <c r="T129" s="4" t="n"/>
      <c r="U129" s="7" t="inlineStr">
        <is>
          <t>stressed syllable leaps up (approx - E or F#)</t>
        </is>
      </c>
    </row>
    <row r="130">
      <c r="A130" s="4" t="inlineStr">
        <is>
          <t>garden</t>
        </is>
      </c>
      <c r="B130" s="4" t="inlineStr">
        <is>
          <t>G1</t>
        </is>
      </c>
      <c r="C130" s="4" t="inlineStr">
        <is>
          <t>lead</t>
        </is>
      </c>
      <c r="D130" s="4" t="n">
        <v>2</v>
      </c>
      <c r="E130" s="4" t="n">
        <v>1.5</v>
      </c>
      <c r="F130" s="4" t="inlineStr">
        <is>
          <t>I</t>
        </is>
      </c>
      <c r="G130" s="4" t="inlineStr">
        <is>
          <t>A</t>
        </is>
      </c>
      <c r="H130" s="4" t="inlineStr">
        <is>
          <t>T</t>
        </is>
      </c>
      <c r="I130" s="4" t="inlineStr">
        <is>
          <t>#4</t>
        </is>
      </c>
      <c r="J130" s="4" t="inlineStr">
        <is>
          <t>D#4</t>
        </is>
      </c>
      <c r="K130" s="4" t="n">
        <v>6</v>
      </c>
      <c r="L130" s="4">
        <f>IF(OR(C130&lt;&gt;C129,K130="",K129=""),"",K130-K129)</f>
        <v/>
      </c>
      <c r="M130" s="4">
        <f>IF(L130="","",IF(L130=0,"repeat",IF(ABS(L130)&lt;=2,"step","leap")))</f>
        <v/>
      </c>
      <c r="N130" s="4">
        <f>IF(F130&lt;&gt;F129,"Y","")</f>
        <v/>
      </c>
      <c r="O130" s="5" t="inlineStr">
        <is>
          <t>N</t>
        </is>
      </c>
      <c r="P130" s="5" t="inlineStr">
        <is>
          <t>S</t>
        </is>
      </c>
      <c r="Q130" s="5" t="inlineStr">
        <is>
          <t>open</t>
        </is>
      </c>
      <c r="R130" s="6" t="n"/>
      <c r="S130" s="4" t="n"/>
      <c r="T130" s="4" t="n"/>
      <c r="U130" s="7" t="inlineStr">
        <is>
          <t>back to the chant note, tied across the system break</t>
        </is>
      </c>
    </row>
    <row r="131">
      <c r="A131" s="4" t="inlineStr">
        <is>
          <t>garden</t>
        </is>
      </c>
      <c r="B131" s="4" t="inlineStr">
        <is>
          <t>G2</t>
        </is>
      </c>
      <c r="C131" s="4" t="inlineStr">
        <is>
          <t>lead</t>
        </is>
      </c>
      <c r="D131" s="4" t="n">
        <v>3</v>
      </c>
      <c r="E131" s="4" t="n">
        <v>1</v>
      </c>
      <c r="F131" s="4" t="inlineStr">
        <is>
          <t>bVII</t>
        </is>
      </c>
      <c r="G131" s="4" t="inlineStr">
        <is>
          <t>G</t>
        </is>
      </c>
      <c r="H131" s="4" t="inlineStr">
        <is>
          <t>T</t>
        </is>
      </c>
      <c r="I131" s="4" t="inlineStr">
        <is>
          <t>4</t>
        </is>
      </c>
      <c r="J131" s="4" t="inlineStr">
        <is>
          <t>D4</t>
        </is>
      </c>
      <c r="K131" s="4" t="n">
        <v>5</v>
      </c>
      <c r="L131" s="4">
        <f>IF(OR(C131&lt;&gt;C130,K131="",K130=""),"",K131-K130)</f>
        <v/>
      </c>
      <c r="M131" s="4">
        <f>IF(L131="","",IF(L131=0,"repeat",IF(ABS(L131)&lt;=2,"step","leap")))</f>
        <v/>
      </c>
      <c r="N131" s="4">
        <f>IF(F131&lt;&gt;F130,"Y","")</f>
        <v/>
      </c>
      <c r="O131" s="5" t="inlineStr">
        <is>
          <t>N</t>
        </is>
      </c>
      <c r="P131" s="5" t="inlineStr">
        <is>
          <t>u</t>
        </is>
      </c>
      <c r="Q131" s="5" t="inlineStr">
        <is>
          <t>open</t>
        </is>
      </c>
      <c r="R131" s="6" t="n"/>
      <c r="S131" s="4" t="n"/>
      <c r="T131" s="4" t="n"/>
      <c r="U131" s="7" t="inlineStr">
        <is>
          <t>chant softens to plain 4 (=5th of bVII) as the bass falls</t>
        </is>
      </c>
    </row>
    <row r="132">
      <c r="A132" s="4" t="inlineStr">
        <is>
          <t>garden</t>
        </is>
      </c>
      <c r="B132" s="4" t="inlineStr">
        <is>
          <t>G2</t>
        </is>
      </c>
      <c r="C132" s="4" t="inlineStr">
        <is>
          <t>lead</t>
        </is>
      </c>
      <c r="D132" s="4" t="n">
        <v>3</v>
      </c>
      <c r="E132" s="4" t="n">
        <v>1.5</v>
      </c>
      <c r="F132" s="4" t="inlineStr">
        <is>
          <t>bVII</t>
        </is>
      </c>
      <c r="G132" s="4" t="inlineStr">
        <is>
          <t>G</t>
        </is>
      </c>
      <c r="H132" s="4" t="inlineStr">
        <is>
          <t>T</t>
        </is>
      </c>
      <c r="I132" s="4" t="inlineStr">
        <is>
          <t>4</t>
        </is>
      </c>
      <c r="J132" s="4" t="inlineStr">
        <is>
          <t>D4</t>
        </is>
      </c>
      <c r="K132" s="4" t="n">
        <v>5</v>
      </c>
      <c r="L132" s="4">
        <f>IF(OR(C132&lt;&gt;C131,K132="",K131=""),"",K132-K131)</f>
        <v/>
      </c>
      <c r="M132" s="4">
        <f>IF(L132="","",IF(L132=0,"repeat",IF(ABS(L132)&lt;=2,"step","leap")))</f>
        <v/>
      </c>
      <c r="N132" s="4">
        <f>IF(F132&lt;&gt;F131,"Y","")</f>
        <v/>
      </c>
      <c r="O132" s="5" t="inlineStr">
        <is>
          <t>N</t>
        </is>
      </c>
      <c r="P132" s="5" t="inlineStr">
        <is>
          <t>S</t>
        </is>
      </c>
      <c r="Q132" s="5" t="inlineStr">
        <is>
          <t>open</t>
        </is>
      </c>
      <c r="R132" s="6" t="n"/>
      <c r="S132" s="4" t="n"/>
      <c r="T132" s="4" t="n"/>
      <c r="U132" s="7" t="inlineStr"/>
    </row>
    <row r="133">
      <c r="A133" s="4" t="inlineStr">
        <is>
          <t>garden</t>
        </is>
      </c>
      <c r="B133" s="4" t="inlineStr">
        <is>
          <t>G2</t>
        </is>
      </c>
      <c r="C133" s="4" t="inlineStr">
        <is>
          <t>lead</t>
        </is>
      </c>
      <c r="D133" s="4" t="n">
        <v>3</v>
      </c>
      <c r="E133" s="4" t="n">
        <v>2</v>
      </c>
      <c r="F133" s="4" t="inlineStr">
        <is>
          <t>bVII</t>
        </is>
      </c>
      <c r="G133" s="4" t="inlineStr">
        <is>
          <t>G</t>
        </is>
      </c>
      <c r="H133" s="4" t="inlineStr">
        <is>
          <t>T</t>
        </is>
      </c>
      <c r="I133" s="4" t="inlineStr">
        <is>
          <t>4</t>
        </is>
      </c>
      <c r="J133" s="4" t="inlineStr">
        <is>
          <t>D4</t>
        </is>
      </c>
      <c r="K133" s="4" t="n">
        <v>5</v>
      </c>
      <c r="L133" s="4">
        <f>IF(OR(C133&lt;&gt;C132,K133="",K132=""),"",K133-K132)</f>
        <v/>
      </c>
      <c r="M133" s="4">
        <f>IF(L133="","",IF(L133=0,"repeat",IF(ABS(L133)&lt;=2,"step","leap")))</f>
        <v/>
      </c>
      <c r="N133" s="4">
        <f>IF(F133&lt;&gt;F132,"Y","")</f>
        <v/>
      </c>
      <c r="O133" s="5" t="inlineStr">
        <is>
          <t>N</t>
        </is>
      </c>
      <c r="P133" s="5" t="inlineStr">
        <is>
          <t>u</t>
        </is>
      </c>
      <c r="Q133" s="5" t="inlineStr">
        <is>
          <t>closed</t>
        </is>
      </c>
      <c r="R133" s="6" t="n"/>
      <c r="S133" s="4" t="n"/>
      <c r="T133" s="4" t="n"/>
      <c r="U133" s="7" t="inlineStr"/>
    </row>
    <row r="134">
      <c r="A134" s="4" t="inlineStr">
        <is>
          <t>garden</t>
        </is>
      </c>
      <c r="B134" s="4" t="inlineStr">
        <is>
          <t>G2</t>
        </is>
      </c>
      <c r="C134" s="4" t="inlineStr">
        <is>
          <t>lead</t>
        </is>
      </c>
      <c r="D134" s="4" t="n">
        <v>3</v>
      </c>
      <c r="E134" s="4" t="n">
        <v>2.5</v>
      </c>
      <c r="F134" s="4" t="inlineStr">
        <is>
          <t>bVII</t>
        </is>
      </c>
      <c r="G134" s="4" t="inlineStr">
        <is>
          <t>G</t>
        </is>
      </c>
      <c r="H134" s="4" t="inlineStr">
        <is>
          <t>T</t>
        </is>
      </c>
      <c r="I134" s="4" t="inlineStr">
        <is>
          <t>4</t>
        </is>
      </c>
      <c r="J134" s="4" t="inlineStr">
        <is>
          <t>D4</t>
        </is>
      </c>
      <c r="K134" s="4" t="n">
        <v>5</v>
      </c>
      <c r="L134" s="4">
        <f>IF(OR(C134&lt;&gt;C133,K134="",K133=""),"",K134-K133)</f>
        <v/>
      </c>
      <c r="M134" s="4">
        <f>IF(L134="","",IF(L134=0,"repeat",IF(ABS(L134)&lt;=2,"step","leap")))</f>
        <v/>
      </c>
      <c r="N134" s="4">
        <f>IF(F134&lt;&gt;F133,"Y","")</f>
        <v/>
      </c>
      <c r="O134" s="5" t="inlineStr">
        <is>
          <t>N</t>
        </is>
      </c>
      <c r="P134" s="5" t="inlineStr">
        <is>
          <t>u</t>
        </is>
      </c>
      <c r="Q134" s="5" t="inlineStr">
        <is>
          <t>open</t>
        </is>
      </c>
      <c r="R134" s="6" t="n"/>
      <c r="S134" s="4" t="n"/>
      <c r="T134" s="4" t="n"/>
      <c r="U134" s="7" t="inlineStr"/>
    </row>
    <row r="135">
      <c r="A135" s="4" t="inlineStr">
        <is>
          <t>garden</t>
        </is>
      </c>
      <c r="B135" s="4" t="inlineStr">
        <is>
          <t>G2</t>
        </is>
      </c>
      <c r="C135" s="4" t="inlineStr">
        <is>
          <t>lead</t>
        </is>
      </c>
      <c r="D135" s="4" t="n">
        <v>4</v>
      </c>
      <c r="E135" s="4" t="n">
        <v>1</v>
      </c>
      <c r="F135" s="4" t="inlineStr">
        <is>
          <t>bVI</t>
        </is>
      </c>
      <c r="G135" s="4" t="inlineStr">
        <is>
          <t>F</t>
        </is>
      </c>
      <c r="H135" s="4" t="inlineStr">
        <is>
          <t>T</t>
        </is>
      </c>
      <c r="I135" s="4" t="inlineStr">
        <is>
          <t>3</t>
        </is>
      </c>
      <c r="J135" s="4" t="inlineStr">
        <is>
          <t>C#4</t>
        </is>
      </c>
      <c r="K135" s="4" t="n">
        <v>4</v>
      </c>
      <c r="L135" s="4">
        <f>IF(OR(C135&lt;&gt;C134,K135="",K134=""),"",K135-K134)</f>
        <v/>
      </c>
      <c r="M135" s="4">
        <f>IF(L135="","",IF(L135=0,"repeat",IF(ABS(L135)&lt;=2,"step","leap")))</f>
        <v/>
      </c>
      <c r="N135" s="4">
        <f>IF(F135&lt;&gt;F134,"Y","")</f>
        <v/>
      </c>
      <c r="O135" s="5" t="inlineStr">
        <is>
          <t>N</t>
        </is>
      </c>
      <c r="P135" s="5" t="inlineStr">
        <is>
          <t>u</t>
        </is>
      </c>
      <c r="Q135" s="5" t="inlineStr">
        <is>
          <t>open</t>
        </is>
      </c>
      <c r="R135" s="6" t="n"/>
      <c r="S135" s="4" t="n"/>
      <c r="T135" s="4" t="n"/>
      <c r="U135" s="7" t="inlineStr">
        <is>
          <t>approx</t>
        </is>
      </c>
    </row>
    <row r="136">
      <c r="A136" s="4" t="inlineStr">
        <is>
          <t>garden</t>
        </is>
      </c>
      <c r="B136" s="4" t="inlineStr">
        <is>
          <t>G2</t>
        </is>
      </c>
      <c r="C136" s="4" t="inlineStr">
        <is>
          <t>lead</t>
        </is>
      </c>
      <c r="D136" s="4" t="n">
        <v>4</v>
      </c>
      <c r="E136" s="4" t="n">
        <v>2</v>
      </c>
      <c r="F136" s="4" t="inlineStr">
        <is>
          <t>bVI</t>
        </is>
      </c>
      <c r="G136" s="4" t="inlineStr">
        <is>
          <t>F</t>
        </is>
      </c>
      <c r="H136" s="4" t="inlineStr">
        <is>
          <t>T</t>
        </is>
      </c>
      <c r="I136" s="4" t="inlineStr">
        <is>
          <t>5</t>
        </is>
      </c>
      <c r="J136" s="4" t="inlineStr">
        <is>
          <t>E4</t>
        </is>
      </c>
      <c r="K136" s="4" t="n">
        <v>7</v>
      </c>
      <c r="L136" s="4">
        <f>IF(OR(C136&lt;&gt;C135,K136="",K135=""),"",K136-K135)</f>
        <v/>
      </c>
      <c r="M136" s="4">
        <f>IF(L136="","",IF(L136=0,"repeat",IF(ABS(L136)&lt;=2,"step","leap")))</f>
        <v/>
      </c>
      <c r="N136" s="4">
        <f>IF(F136&lt;&gt;F135,"Y","")</f>
        <v/>
      </c>
      <c r="O136" s="5" t="inlineStr">
        <is>
          <t>N</t>
        </is>
      </c>
      <c r="P136" s="5" t="inlineStr">
        <is>
          <t>S</t>
        </is>
      </c>
      <c r="Q136" s="5" t="inlineStr">
        <is>
          <t>open</t>
        </is>
      </c>
      <c r="R136" s="6" t="n"/>
      <c r="S136" s="4" t="n"/>
      <c r="T136" s="4" t="n"/>
      <c r="U136" s="7" t="inlineStr">
        <is>
          <t>held word rises then falls, tied into the V bar</t>
        </is>
      </c>
    </row>
    <row r="137">
      <c r="A137" s="4" t="inlineStr">
        <is>
          <t>garden</t>
        </is>
      </c>
      <c r="B137" s="4" t="inlineStr">
        <is>
          <t>G2</t>
        </is>
      </c>
      <c r="C137" s="4" t="inlineStr">
        <is>
          <t>lead</t>
        </is>
      </c>
      <c r="D137" s="4" t="n">
        <v>4</v>
      </c>
      <c r="E137" s="4" t="n">
        <v>3</v>
      </c>
      <c r="F137" s="4" t="inlineStr">
        <is>
          <t>bVI</t>
        </is>
      </c>
      <c r="G137" s="4" t="inlineStr">
        <is>
          <t>F</t>
        </is>
      </c>
      <c r="H137" s="4" t="inlineStr">
        <is>
          <t>T</t>
        </is>
      </c>
      <c r="I137" s="4" t="inlineStr">
        <is>
          <t>4</t>
        </is>
      </c>
      <c r="J137" s="4" t="inlineStr">
        <is>
          <t>D4</t>
        </is>
      </c>
      <c r="K137" s="4" t="n">
        <v>5</v>
      </c>
      <c r="L137" s="4">
        <f>IF(OR(C137&lt;&gt;C136,K137="",K136=""),"",K137-K136)</f>
        <v/>
      </c>
      <c r="M137" s="4">
        <f>IF(L137="","",IF(L137=0,"repeat",IF(ABS(L137)&lt;=2,"step","leap")))</f>
        <v/>
      </c>
      <c r="N137" s="4">
        <f>IF(F137&lt;&gt;F136,"Y","")</f>
        <v/>
      </c>
      <c r="O137" s="5" t="inlineStr">
        <is>
          <t>N</t>
        </is>
      </c>
      <c r="P137" s="5" t="inlineStr">
        <is>
          <t>u</t>
        </is>
      </c>
      <c r="Q137" s="5" t="inlineStr">
        <is>
          <t>open</t>
        </is>
      </c>
      <c r="R137" s="6" t="n"/>
      <c r="S137" s="4" t="n"/>
      <c r="T137" s="4" t="n"/>
      <c r="U137" s="7" t="inlineStr">
        <is>
          <t>melisma (approx); bar 5 (V) holds the tie then rests</t>
        </is>
      </c>
    </row>
    <row r="138">
      <c r="A138" s="4" t="inlineStr">
        <is>
          <t>garden</t>
        </is>
      </c>
      <c r="B138" s="4" t="inlineStr">
        <is>
          <t>G3</t>
        </is>
      </c>
      <c r="C138" s="4" t="inlineStr">
        <is>
          <t>lead</t>
        </is>
      </c>
      <c r="D138" s="4" t="n">
        <v>6</v>
      </c>
      <c r="E138" s="4" t="n">
        <v>2.5</v>
      </c>
      <c r="F138" s="4" t="inlineStr">
        <is>
          <t>bVI</t>
        </is>
      </c>
      <c r="G138" s="4" t="inlineStr">
        <is>
          <t>F</t>
        </is>
      </c>
      <c r="H138" s="4" t="inlineStr">
        <is>
          <t>T</t>
        </is>
      </c>
      <c r="I138" s="4" t="inlineStr">
        <is>
          <t>4</t>
        </is>
      </c>
      <c r="J138" s="4" t="inlineStr">
        <is>
          <t>D4</t>
        </is>
      </c>
      <c r="K138" s="4" t="n">
        <v>5</v>
      </c>
      <c r="L138" s="4">
        <f>IF(OR(C138&lt;&gt;C137,K138="",K137=""),"",K138-K137)</f>
        <v/>
      </c>
      <c r="M138" s="4">
        <f>IF(L138="","",IF(L138=0,"repeat",IF(ABS(L138)&lt;=2,"step","leap")))</f>
        <v/>
      </c>
      <c r="N138" s="4">
        <f>IF(F138&lt;&gt;F137,"Y","")</f>
        <v/>
      </c>
      <c r="O138" s="5" t="inlineStr">
        <is>
          <t>N</t>
        </is>
      </c>
      <c r="P138" s="5" t="inlineStr">
        <is>
          <t>u</t>
        </is>
      </c>
      <c r="Q138" s="5" t="inlineStr">
        <is>
          <t>closed</t>
        </is>
      </c>
      <c r="R138" s="6" t="n"/>
      <c r="S138" s="4" t="n"/>
      <c r="T138" s="4" t="n"/>
      <c r="U138" s="7" t="inlineStr">
        <is>
          <t>patter restarts mid-bar</t>
        </is>
      </c>
    </row>
    <row r="139">
      <c r="A139" s="4" t="inlineStr">
        <is>
          <t>garden</t>
        </is>
      </c>
      <c r="B139" s="4" t="inlineStr">
        <is>
          <t>G3</t>
        </is>
      </c>
      <c r="C139" s="4" t="inlineStr">
        <is>
          <t>lead</t>
        </is>
      </c>
      <c r="D139" s="4" t="n">
        <v>6</v>
      </c>
      <c r="E139" s="4" t="n">
        <v>2.75</v>
      </c>
      <c r="F139" s="4" t="inlineStr">
        <is>
          <t>bVI</t>
        </is>
      </c>
      <c r="G139" s="4" t="inlineStr">
        <is>
          <t>F</t>
        </is>
      </c>
      <c r="H139" s="4" t="inlineStr">
        <is>
          <t>T</t>
        </is>
      </c>
      <c r="I139" s="4" t="inlineStr">
        <is>
          <t>3</t>
        </is>
      </c>
      <c r="J139" s="4" t="inlineStr">
        <is>
          <t>C#4</t>
        </is>
      </c>
      <c r="K139" s="4" t="n">
        <v>4</v>
      </c>
      <c r="L139" s="4">
        <f>IF(OR(C139&lt;&gt;C138,K139="",K138=""),"",K139-K138)</f>
        <v/>
      </c>
      <c r="M139" s="4">
        <f>IF(L139="","",IF(L139=0,"repeat",IF(ABS(L139)&lt;=2,"step","leap")))</f>
        <v/>
      </c>
      <c r="N139" s="4">
        <f>IF(F139&lt;&gt;F138,"Y","")</f>
        <v/>
      </c>
      <c r="O139" s="5" t="inlineStr">
        <is>
          <t>N</t>
        </is>
      </c>
      <c r="P139" s="5" t="inlineStr">
        <is>
          <t>u</t>
        </is>
      </c>
      <c r="Q139" s="5" t="inlineStr">
        <is>
          <t>open</t>
        </is>
      </c>
      <c r="R139" s="6" t="n"/>
      <c r="S139" s="4" t="n"/>
      <c r="T139" s="4" t="n"/>
      <c r="U139" s="7" t="inlineStr"/>
    </row>
    <row r="140">
      <c r="A140" s="4" t="inlineStr">
        <is>
          <t>garden</t>
        </is>
      </c>
      <c r="B140" s="4" t="inlineStr">
        <is>
          <t>G3</t>
        </is>
      </c>
      <c r="C140" s="4" t="inlineStr">
        <is>
          <t>lead</t>
        </is>
      </c>
      <c r="D140" s="4" t="n">
        <v>6</v>
      </c>
      <c r="E140" s="4" t="n">
        <v>3</v>
      </c>
      <c r="F140" s="4" t="inlineStr">
        <is>
          <t>bVI</t>
        </is>
      </c>
      <c r="G140" s="4" t="inlineStr">
        <is>
          <t>F</t>
        </is>
      </c>
      <c r="H140" s="4" t="inlineStr">
        <is>
          <t>T</t>
        </is>
      </c>
      <c r="I140" s="4" t="inlineStr">
        <is>
          <t>b3</t>
        </is>
      </c>
      <c r="J140" s="4" t="inlineStr">
        <is>
          <t>C4</t>
        </is>
      </c>
      <c r="K140" s="4" t="n">
        <v>3</v>
      </c>
      <c r="L140" s="4">
        <f>IF(OR(C140&lt;&gt;C139,K140="",K139=""),"",K140-K139)</f>
        <v/>
      </c>
      <c r="M140" s="4">
        <f>IF(L140="","",IF(L140=0,"repeat",IF(ABS(L140)&lt;=2,"step","leap")))</f>
        <v/>
      </c>
      <c r="N140" s="4">
        <f>IF(F140&lt;&gt;F139,"Y","")</f>
        <v/>
      </c>
      <c r="O140" s="5" t="inlineStr">
        <is>
          <t>N</t>
        </is>
      </c>
      <c r="P140" s="5" t="inlineStr">
        <is>
          <t>S</t>
        </is>
      </c>
      <c r="Q140" s="5" t="inlineStr">
        <is>
          <t>open</t>
        </is>
      </c>
      <c r="R140" s="6" t="n"/>
      <c r="S140" s="4" t="n"/>
      <c r="T140" s="4" t="n"/>
      <c r="U140" s="7" t="inlineStr">
        <is>
          <t>engraved NATURAL: blue b3 = 5th of bVI</t>
        </is>
      </c>
    </row>
    <row r="141">
      <c r="A141" s="4" t="inlineStr">
        <is>
          <t>garden</t>
        </is>
      </c>
      <c r="B141" s="4" t="inlineStr">
        <is>
          <t>G3</t>
        </is>
      </c>
      <c r="C141" s="4" t="inlineStr">
        <is>
          <t>lead</t>
        </is>
      </c>
      <c r="D141" s="4" t="n">
        <v>6</v>
      </c>
      <c r="E141" s="4" t="n">
        <v>3.5</v>
      </c>
      <c r="F141" s="4" t="inlineStr">
        <is>
          <t>bVI</t>
        </is>
      </c>
      <c r="G141" s="4" t="inlineStr">
        <is>
          <t>F</t>
        </is>
      </c>
      <c r="H141" s="4" t="inlineStr">
        <is>
          <t>T</t>
        </is>
      </c>
      <c r="I141" s="4" t="inlineStr">
        <is>
          <t>2</t>
        </is>
      </c>
      <c r="J141" s="4" t="inlineStr">
        <is>
          <t>B3</t>
        </is>
      </c>
      <c r="K141" s="4" t="n">
        <v>2</v>
      </c>
      <c r="L141" s="4">
        <f>IF(OR(C141&lt;&gt;C140,K141="",K140=""),"",K141-K140)</f>
        <v/>
      </c>
      <c r="M141" s="4">
        <f>IF(L141="","",IF(L141=0,"repeat",IF(ABS(L141)&lt;=2,"step","leap")))</f>
        <v/>
      </c>
      <c r="N141" s="4">
        <f>IF(F141&lt;&gt;F140,"Y","")</f>
        <v/>
      </c>
      <c r="O141" s="5" t="inlineStr">
        <is>
          <t>N</t>
        </is>
      </c>
      <c r="P141" s="5" t="inlineStr">
        <is>
          <t>u</t>
        </is>
      </c>
      <c r="Q141" s="5" t="inlineStr">
        <is>
          <t>open</t>
        </is>
      </c>
      <c r="R141" s="6" t="n"/>
      <c r="S141" s="4" t="n"/>
      <c r="T141" s="4" t="n"/>
      <c r="U141" s="7" t="inlineStr">
        <is>
          <t>approx</t>
        </is>
      </c>
    </row>
    <row r="142">
      <c r="A142" s="4" t="inlineStr">
        <is>
          <t>garden</t>
        </is>
      </c>
      <c r="B142" s="4" t="inlineStr">
        <is>
          <t>G3</t>
        </is>
      </c>
      <c r="C142" s="4" t="inlineStr">
        <is>
          <t>lead</t>
        </is>
      </c>
      <c r="D142" s="4" t="n">
        <v>6</v>
      </c>
      <c r="E142" s="4" t="n">
        <v>4</v>
      </c>
      <c r="F142" s="4" t="inlineStr">
        <is>
          <t>bVI</t>
        </is>
      </c>
      <c r="G142" s="4" t="inlineStr">
        <is>
          <t>F</t>
        </is>
      </c>
      <c r="H142" s="4" t="inlineStr">
        <is>
          <t>T</t>
        </is>
      </c>
      <c r="I142" s="4" t="inlineStr">
        <is>
          <t>3</t>
        </is>
      </c>
      <c r="J142" s="4" t="inlineStr">
        <is>
          <t>C#4</t>
        </is>
      </c>
      <c r="K142" s="4" t="n">
        <v>4</v>
      </c>
      <c r="L142" s="4">
        <f>IF(OR(C142&lt;&gt;C141,K142="",K141=""),"",K142-K141)</f>
        <v/>
      </c>
      <c r="M142" s="4">
        <f>IF(L142="","",IF(L142=0,"repeat",IF(ABS(L142)&lt;=2,"step","leap")))</f>
        <v/>
      </c>
      <c r="N142" s="4">
        <f>IF(F142&lt;&gt;F141,"Y","")</f>
        <v/>
      </c>
      <c r="O142" s="5" t="inlineStr">
        <is>
          <t>N</t>
        </is>
      </c>
      <c r="P142" s="5" t="inlineStr">
        <is>
          <t>S</t>
        </is>
      </c>
      <c r="Q142" s="5" t="inlineStr">
        <is>
          <t>open</t>
        </is>
      </c>
      <c r="R142" s="6" t="n"/>
      <c r="S142" s="4" t="n"/>
      <c r="T142" s="4" t="n"/>
      <c r="U142" s="7" t="inlineStr">
        <is>
          <t>approx</t>
        </is>
      </c>
    </row>
    <row r="143">
      <c r="A143" s="4" t="inlineStr">
        <is>
          <t>garden</t>
        </is>
      </c>
      <c r="B143" s="4" t="inlineStr">
        <is>
          <t>G4</t>
        </is>
      </c>
      <c r="C143" s="4" t="inlineStr">
        <is>
          <t>lead</t>
        </is>
      </c>
      <c r="D143" s="4" t="n">
        <v>7</v>
      </c>
      <c r="E143" s="4" t="n">
        <v>1</v>
      </c>
      <c r="F143" s="4" t="inlineStr">
        <is>
          <t>II</t>
        </is>
      </c>
      <c r="G143" s="4" t="inlineStr">
        <is>
          <t>B</t>
        </is>
      </c>
      <c r="H143" s="4" t="inlineStr">
        <is>
          <t>PD</t>
        </is>
      </c>
      <c r="I143" s="4" t="inlineStr">
        <is>
          <t>3</t>
        </is>
      </c>
      <c r="J143" s="4" t="inlineStr">
        <is>
          <t>C#4</t>
        </is>
      </c>
      <c r="K143" s="4" t="n">
        <v>4</v>
      </c>
      <c r="L143" s="4">
        <f>IF(OR(C143&lt;&gt;C142,K143="",K142=""),"",K143-K142)</f>
        <v/>
      </c>
      <c r="M143" s="4">
        <f>IF(L143="","",IF(L143=0,"repeat",IF(ABS(L143)&lt;=2,"step","leap")))</f>
        <v/>
      </c>
      <c r="N143" s="4">
        <f>IF(F143&lt;&gt;F142,"Y","")</f>
        <v/>
      </c>
      <c r="O143" s="5" t="inlineStr">
        <is>
          <t>N</t>
        </is>
      </c>
      <c r="P143" s="5" t="inlineStr">
        <is>
          <t>u</t>
        </is>
      </c>
      <c r="Q143" s="5" t="inlineStr">
        <is>
          <t>closed</t>
        </is>
      </c>
      <c r="R143" s="6" t="n"/>
      <c r="S143" s="4" t="n"/>
      <c r="T143" s="4" t="n"/>
      <c r="U143" s="7" t="inlineStr">
        <is>
          <t>the 3/2 alternating patter from the Corporation chant returns</t>
        </is>
      </c>
    </row>
    <row r="144">
      <c r="A144" s="4" t="inlineStr">
        <is>
          <t>garden</t>
        </is>
      </c>
      <c r="B144" s="4" t="inlineStr">
        <is>
          <t>G4</t>
        </is>
      </c>
      <c r="C144" s="4" t="inlineStr">
        <is>
          <t>lead</t>
        </is>
      </c>
      <c r="D144" s="4" t="n">
        <v>7</v>
      </c>
      <c r="E144" s="4" t="n">
        <v>1.25</v>
      </c>
      <c r="F144" s="4" t="inlineStr">
        <is>
          <t>II</t>
        </is>
      </c>
      <c r="G144" s="4" t="inlineStr">
        <is>
          <t>B</t>
        </is>
      </c>
      <c r="H144" s="4" t="inlineStr">
        <is>
          <t>PD</t>
        </is>
      </c>
      <c r="I144" s="4" t="inlineStr">
        <is>
          <t>2</t>
        </is>
      </c>
      <c r="J144" s="4" t="inlineStr">
        <is>
          <t>B3</t>
        </is>
      </c>
      <c r="K144" s="4" t="n">
        <v>2</v>
      </c>
      <c r="L144" s="4">
        <f>IF(OR(C144&lt;&gt;C143,K144="",K143=""),"",K144-K143)</f>
        <v/>
      </c>
      <c r="M144" s="4">
        <f>IF(L144="","",IF(L144=0,"repeat",IF(ABS(L144)&lt;=2,"step","leap")))</f>
        <v/>
      </c>
      <c r="N144" s="4">
        <f>IF(F144&lt;&gt;F143,"Y","")</f>
        <v/>
      </c>
      <c r="O144" s="5" t="inlineStr">
        <is>
          <t>Y</t>
        </is>
      </c>
      <c r="P144" s="5" t="inlineStr">
        <is>
          <t>u</t>
        </is>
      </c>
      <c r="Q144" s="5" t="inlineStr">
        <is>
          <t>open</t>
        </is>
      </c>
      <c r="R144" s="6" t="n"/>
      <c r="S144" s="4" t="n"/>
      <c r="T144" s="4" t="n"/>
      <c r="U144" s="7" t="inlineStr"/>
    </row>
    <row r="145">
      <c r="A145" s="4" t="inlineStr">
        <is>
          <t>garden</t>
        </is>
      </c>
      <c r="B145" s="4" t="inlineStr">
        <is>
          <t>G4</t>
        </is>
      </c>
      <c r="C145" s="4" t="inlineStr">
        <is>
          <t>lead</t>
        </is>
      </c>
      <c r="D145" s="4" t="n">
        <v>7</v>
      </c>
      <c r="E145" s="4" t="n">
        <v>1.5</v>
      </c>
      <c r="F145" s="4" t="inlineStr">
        <is>
          <t>II</t>
        </is>
      </c>
      <c r="G145" s="4" t="inlineStr">
        <is>
          <t>B</t>
        </is>
      </c>
      <c r="H145" s="4" t="inlineStr">
        <is>
          <t>PD</t>
        </is>
      </c>
      <c r="I145" s="4" t="inlineStr">
        <is>
          <t>3</t>
        </is>
      </c>
      <c r="J145" s="4" t="inlineStr">
        <is>
          <t>C#4</t>
        </is>
      </c>
      <c r="K145" s="4" t="n">
        <v>4</v>
      </c>
      <c r="L145" s="4">
        <f>IF(OR(C145&lt;&gt;C144,K145="",K144=""),"",K145-K144)</f>
        <v/>
      </c>
      <c r="M145" s="4">
        <f>IF(L145="","",IF(L145=0,"repeat",IF(ABS(L145)&lt;=2,"step","leap")))</f>
        <v/>
      </c>
      <c r="N145" s="4">
        <f>IF(F145&lt;&gt;F144,"Y","")</f>
        <v/>
      </c>
      <c r="O145" s="5" t="inlineStr">
        <is>
          <t>N</t>
        </is>
      </c>
      <c r="P145" s="5" t="inlineStr">
        <is>
          <t>u</t>
        </is>
      </c>
      <c r="Q145" s="5" t="inlineStr">
        <is>
          <t>open</t>
        </is>
      </c>
      <c r="R145" s="6" t="n"/>
      <c r="S145" s="4" t="n"/>
      <c r="T145" s="4" t="n"/>
      <c r="U145" s="7" t="inlineStr"/>
    </row>
    <row r="146">
      <c r="A146" s="4" t="inlineStr">
        <is>
          <t>garden</t>
        </is>
      </c>
      <c r="B146" s="4" t="inlineStr">
        <is>
          <t>G4</t>
        </is>
      </c>
      <c r="C146" s="4" t="inlineStr">
        <is>
          <t>lead</t>
        </is>
      </c>
      <c r="D146" s="4" t="n">
        <v>7</v>
      </c>
      <c r="E146" s="4" t="n">
        <v>1.75</v>
      </c>
      <c r="F146" s="4" t="inlineStr">
        <is>
          <t>II</t>
        </is>
      </c>
      <c r="G146" s="4" t="inlineStr">
        <is>
          <t>B</t>
        </is>
      </c>
      <c r="H146" s="4" t="inlineStr">
        <is>
          <t>PD</t>
        </is>
      </c>
      <c r="I146" s="4" t="inlineStr">
        <is>
          <t>2</t>
        </is>
      </c>
      <c r="J146" s="4" t="inlineStr">
        <is>
          <t>B3</t>
        </is>
      </c>
      <c r="K146" s="4" t="n">
        <v>2</v>
      </c>
      <c r="L146" s="4">
        <f>IF(OR(C146&lt;&gt;C145,K146="",K145=""),"",K146-K145)</f>
        <v/>
      </c>
      <c r="M146" s="4">
        <f>IF(L146="","",IF(L146=0,"repeat",IF(ABS(L146)&lt;=2,"step","leap")))</f>
        <v/>
      </c>
      <c r="N146" s="4">
        <f>IF(F146&lt;&gt;F145,"Y","")</f>
        <v/>
      </c>
      <c r="O146" s="5" t="inlineStr">
        <is>
          <t>Y</t>
        </is>
      </c>
      <c r="P146" s="5" t="inlineStr">
        <is>
          <t>S</t>
        </is>
      </c>
      <c r="Q146" s="5" t="inlineStr">
        <is>
          <t>open</t>
        </is>
      </c>
      <c r="R146" s="6" t="n"/>
      <c r="S146" s="4" t="n"/>
      <c r="T146" s="4" t="n"/>
      <c r="U146" s="7" t="inlineStr"/>
    </row>
    <row r="147">
      <c r="A147" s="4" t="inlineStr">
        <is>
          <t>garden</t>
        </is>
      </c>
      <c r="B147" s="4" t="inlineStr">
        <is>
          <t>G4</t>
        </is>
      </c>
      <c r="C147" s="4" t="inlineStr">
        <is>
          <t>lead</t>
        </is>
      </c>
      <c r="D147" s="4" t="n">
        <v>7</v>
      </c>
      <c r="E147" s="4" t="n">
        <v>2.5</v>
      </c>
      <c r="F147" s="4" t="inlineStr">
        <is>
          <t>II</t>
        </is>
      </c>
      <c r="G147" s="4" t="inlineStr">
        <is>
          <t>B</t>
        </is>
      </c>
      <c r="H147" s="4" t="inlineStr">
        <is>
          <t>PD</t>
        </is>
      </c>
      <c r="I147" s="4" t="inlineStr">
        <is>
          <t>3</t>
        </is>
      </c>
      <c r="J147" s="4" t="inlineStr">
        <is>
          <t>C#4</t>
        </is>
      </c>
      <c r="K147" s="4" t="n">
        <v>4</v>
      </c>
      <c r="L147" s="4">
        <f>IF(OR(C147&lt;&gt;C146,K147="",K146=""),"",K147-K146)</f>
        <v/>
      </c>
      <c r="M147" s="4">
        <f>IF(L147="","",IF(L147=0,"repeat",IF(ABS(L147)&lt;=2,"step","leap")))</f>
        <v/>
      </c>
      <c r="N147" s="4">
        <f>IF(F147&lt;&gt;F146,"Y","")</f>
        <v/>
      </c>
      <c r="O147" s="5" t="inlineStr">
        <is>
          <t>N</t>
        </is>
      </c>
      <c r="P147" s="5" t="inlineStr">
        <is>
          <t>u</t>
        </is>
      </c>
      <c r="Q147" s="5" t="inlineStr">
        <is>
          <t>open</t>
        </is>
      </c>
      <c r="R147" s="6" t="n"/>
      <c r="S147" s="4" t="n"/>
      <c r="T147" s="4" t="n"/>
      <c r="U147" s="7" t="inlineStr"/>
    </row>
    <row r="148">
      <c r="A148" s="4" t="inlineStr">
        <is>
          <t>garden</t>
        </is>
      </c>
      <c r="B148" s="4" t="inlineStr">
        <is>
          <t>G4</t>
        </is>
      </c>
      <c r="C148" s="4" t="inlineStr">
        <is>
          <t>lead</t>
        </is>
      </c>
      <c r="D148" s="4" t="n">
        <v>7</v>
      </c>
      <c r="E148" s="4" t="n">
        <v>3</v>
      </c>
      <c r="F148" s="4" t="inlineStr">
        <is>
          <t>II</t>
        </is>
      </c>
      <c r="G148" s="4" t="inlineStr">
        <is>
          <t>B</t>
        </is>
      </c>
      <c r="H148" s="4" t="inlineStr">
        <is>
          <t>PD</t>
        </is>
      </c>
      <c r="I148" s="4" t="inlineStr">
        <is>
          <t>2</t>
        </is>
      </c>
      <c r="J148" s="4" t="inlineStr">
        <is>
          <t>B3</t>
        </is>
      </c>
      <c r="K148" s="4" t="n">
        <v>2</v>
      </c>
      <c r="L148" s="4">
        <f>IF(OR(C148&lt;&gt;C147,K148="",K147=""),"",K148-K147)</f>
        <v/>
      </c>
      <c r="M148" s="4">
        <f>IF(L148="","",IF(L148=0,"repeat",IF(ABS(L148)&lt;=2,"step","leap")))</f>
        <v/>
      </c>
      <c r="N148" s="4">
        <f>IF(F148&lt;&gt;F147,"Y","")</f>
        <v/>
      </c>
      <c r="O148" s="5" t="inlineStr">
        <is>
          <t>Y</t>
        </is>
      </c>
      <c r="P148" s="5" t="inlineStr">
        <is>
          <t>S</t>
        </is>
      </c>
      <c r="Q148" s="5" t="inlineStr">
        <is>
          <t>open</t>
        </is>
      </c>
      <c r="R148" s="6" t="n"/>
      <c r="S148" s="4" t="n"/>
      <c r="T148" s="4" t="n"/>
      <c r="U148" s="7" t="inlineStr">
        <is>
          <t>descent begins</t>
        </is>
      </c>
    </row>
    <row r="149">
      <c r="A149" s="4" t="inlineStr">
        <is>
          <t>garden</t>
        </is>
      </c>
      <c r="B149" s="4" t="inlineStr">
        <is>
          <t>G4</t>
        </is>
      </c>
      <c r="C149" s="4" t="inlineStr">
        <is>
          <t>lead</t>
        </is>
      </c>
      <c r="D149" s="4" t="n">
        <v>7</v>
      </c>
      <c r="E149" s="4" t="n">
        <v>3.25</v>
      </c>
      <c r="F149" s="4" t="inlineStr">
        <is>
          <t>II</t>
        </is>
      </c>
      <c r="G149" s="4" t="inlineStr">
        <is>
          <t>B</t>
        </is>
      </c>
      <c r="H149" s="4" t="inlineStr">
        <is>
          <t>PD</t>
        </is>
      </c>
      <c r="I149" s="4" t="inlineStr">
        <is>
          <t>1</t>
        </is>
      </c>
      <c r="J149" s="4" t="inlineStr">
        <is>
          <t>A3</t>
        </is>
      </c>
      <c r="K149" s="4" t="n">
        <v>0</v>
      </c>
      <c r="L149" s="4">
        <f>IF(OR(C149&lt;&gt;C148,K149="",K148=""),"",K149-K148)</f>
        <v/>
      </c>
      <c r="M149" s="4">
        <f>IF(L149="","",IF(L149=0,"repeat",IF(ABS(L149)&lt;=2,"step","leap")))</f>
        <v/>
      </c>
      <c r="N149" s="4">
        <f>IF(F149&lt;&gt;F148,"Y","")</f>
        <v/>
      </c>
      <c r="O149" s="5" t="inlineStr">
        <is>
          <t>N</t>
        </is>
      </c>
      <c r="P149" s="5" t="inlineStr">
        <is>
          <t>u</t>
        </is>
      </c>
      <c r="Q149" s="5" t="inlineStr">
        <is>
          <t>closed</t>
        </is>
      </c>
      <c r="R149" s="6" t="n"/>
      <c r="S149" s="4" t="n"/>
      <c r="T149" s="4" t="n"/>
      <c r="U149" s="7" t="inlineStr"/>
    </row>
    <row r="150">
      <c r="A150" s="4" t="inlineStr">
        <is>
          <t>garden</t>
        </is>
      </c>
      <c r="B150" s="4" t="inlineStr">
        <is>
          <t>G4</t>
        </is>
      </c>
      <c r="C150" s="4" t="inlineStr">
        <is>
          <t>lead</t>
        </is>
      </c>
      <c r="D150" s="4" t="n">
        <v>7</v>
      </c>
      <c r="E150" s="4" t="n">
        <v>3.5</v>
      </c>
      <c r="F150" s="4" t="inlineStr">
        <is>
          <t>II</t>
        </is>
      </c>
      <c r="G150" s="4" t="inlineStr">
        <is>
          <t>B</t>
        </is>
      </c>
      <c r="H150" s="4" t="inlineStr">
        <is>
          <t>PD</t>
        </is>
      </c>
      <c r="I150" s="4" t="inlineStr">
        <is>
          <t>2</t>
        </is>
      </c>
      <c r="J150" s="4" t="inlineStr">
        <is>
          <t>B3</t>
        </is>
      </c>
      <c r="K150" s="4" t="n">
        <v>2</v>
      </c>
      <c r="L150" s="4">
        <f>IF(OR(C150&lt;&gt;C149,K150="",K149=""),"",K150-K149)</f>
        <v/>
      </c>
      <c r="M150" s="4">
        <f>IF(L150="","",IF(L150=0,"repeat",IF(ABS(L150)&lt;=2,"step","leap")))</f>
        <v/>
      </c>
      <c r="N150" s="4">
        <f>IF(F150&lt;&gt;F149,"Y","")</f>
        <v/>
      </c>
      <c r="O150" s="5" t="inlineStr">
        <is>
          <t>Y</t>
        </is>
      </c>
      <c r="P150" s="5" t="inlineStr">
        <is>
          <t>u</t>
        </is>
      </c>
      <c r="Q150" s="5" t="inlineStr">
        <is>
          <t>closed</t>
        </is>
      </c>
      <c r="R150" s="6" t="n"/>
      <c r="S150" s="4" t="n"/>
      <c r="T150" s="4" t="n"/>
      <c r="U150" s="7" t="inlineStr"/>
    </row>
    <row r="151">
      <c r="A151" s="4" t="inlineStr">
        <is>
          <t>garden</t>
        </is>
      </c>
      <c r="B151" s="4" t="inlineStr">
        <is>
          <t>G4</t>
        </is>
      </c>
      <c r="C151" s="4" t="inlineStr">
        <is>
          <t>lead</t>
        </is>
      </c>
      <c r="D151" s="4" t="n">
        <v>7</v>
      </c>
      <c r="E151" s="4" t="n">
        <v>3.75</v>
      </c>
      <c r="F151" s="4" t="inlineStr">
        <is>
          <t>II</t>
        </is>
      </c>
      <c r="G151" s="4" t="inlineStr">
        <is>
          <t>B</t>
        </is>
      </c>
      <c r="H151" s="4" t="inlineStr">
        <is>
          <t>PD</t>
        </is>
      </c>
      <c r="I151" s="4" t="inlineStr">
        <is>
          <t>1</t>
        </is>
      </c>
      <c r="J151" s="4" t="inlineStr">
        <is>
          <t>A3</t>
        </is>
      </c>
      <c r="K151" s="4" t="n">
        <v>0</v>
      </c>
      <c r="L151" s="4">
        <f>IF(OR(C151&lt;&gt;C150,K151="",K150=""),"",K151-K150)</f>
        <v/>
      </c>
      <c r="M151" s="4">
        <f>IF(L151="","",IF(L151=0,"repeat",IF(ABS(L151)&lt;=2,"step","leap")))</f>
        <v/>
      </c>
      <c r="N151" s="4">
        <f>IF(F151&lt;&gt;F150,"Y","")</f>
        <v/>
      </c>
      <c r="O151" s="5" t="inlineStr">
        <is>
          <t>N</t>
        </is>
      </c>
      <c r="P151" s="5" t="inlineStr">
        <is>
          <t>u</t>
        </is>
      </c>
      <c r="Q151" s="5" t="inlineStr">
        <is>
          <t>open</t>
        </is>
      </c>
      <c r="R151" s="6" t="n"/>
      <c r="S151" s="4" t="n"/>
      <c r="T151" s="4" t="n"/>
      <c r="U151" s="7" t="inlineStr"/>
    </row>
    <row r="152">
      <c r="A152" s="4" t="inlineStr">
        <is>
          <t>garden</t>
        </is>
      </c>
      <c r="B152" s="4" t="inlineStr">
        <is>
          <t>G4</t>
        </is>
      </c>
      <c r="C152" s="4" t="inlineStr">
        <is>
          <t>lead</t>
        </is>
      </c>
      <c r="D152" s="4" t="n">
        <v>7</v>
      </c>
      <c r="E152" s="4" t="n">
        <v>4</v>
      </c>
      <c r="F152" s="4" t="inlineStr">
        <is>
          <t>II</t>
        </is>
      </c>
      <c r="G152" s="4" t="inlineStr">
        <is>
          <t>B</t>
        </is>
      </c>
      <c r="H152" s="4" t="inlineStr">
        <is>
          <t>PD</t>
        </is>
      </c>
      <c r="I152" s="4" t="inlineStr">
        <is>
          <t>2</t>
        </is>
      </c>
      <c r="J152" s="4" t="inlineStr">
        <is>
          <t>B3</t>
        </is>
      </c>
      <c r="K152" s="4" t="n">
        <v>2</v>
      </c>
      <c r="L152" s="4">
        <f>IF(OR(C152&lt;&gt;C151,K152="",K151=""),"",K152-K151)</f>
        <v/>
      </c>
      <c r="M152" s="4">
        <f>IF(L152="","",IF(L152=0,"repeat",IF(ABS(L152)&lt;=2,"step","leap")))</f>
        <v/>
      </c>
      <c r="N152" s="4">
        <f>IF(F152&lt;&gt;F151,"Y","")</f>
        <v/>
      </c>
      <c r="O152" s="5" t="inlineStr">
        <is>
          <t>Y</t>
        </is>
      </c>
      <c r="P152" s="5" t="inlineStr">
        <is>
          <t>S</t>
        </is>
      </c>
      <c r="Q152" s="5" t="inlineStr">
        <is>
          <t>open</t>
        </is>
      </c>
      <c r="R152" s="6" t="n"/>
      <c r="S152" s="4" t="n"/>
      <c r="T152" s="4" t="n"/>
      <c r="U152" s="7" t="inlineStr"/>
    </row>
    <row r="153">
      <c r="A153" s="4" t="inlineStr">
        <is>
          <t>garden</t>
        </is>
      </c>
      <c r="B153" s="4" t="inlineStr">
        <is>
          <t>G4</t>
        </is>
      </c>
      <c r="C153" s="4" t="inlineStr">
        <is>
          <t>lead</t>
        </is>
      </c>
      <c r="D153" s="4" t="n">
        <v>7</v>
      </c>
      <c r="E153" s="4" t="n">
        <v>4.5</v>
      </c>
      <c r="F153" s="4" t="inlineStr">
        <is>
          <t>II</t>
        </is>
      </c>
      <c r="G153" s="4" t="inlineStr">
        <is>
          <t>B</t>
        </is>
      </c>
      <c r="H153" s="4" t="inlineStr">
        <is>
          <t>PD</t>
        </is>
      </c>
      <c r="I153" s="4" t="inlineStr">
        <is>
          <t>2</t>
        </is>
      </c>
      <c r="J153" s="4" t="inlineStr">
        <is>
          <t>B3</t>
        </is>
      </c>
      <c r="K153" s="4" t="n">
        <v>2</v>
      </c>
      <c r="L153" s="4">
        <f>IF(OR(C153&lt;&gt;C152,K153="",K152=""),"",K153-K152)</f>
        <v/>
      </c>
      <c r="M153" s="4">
        <f>IF(L153="","",IF(L153=0,"repeat",IF(ABS(L153)&lt;=2,"step","leap")))</f>
        <v/>
      </c>
      <c r="N153" s="4">
        <f>IF(F153&lt;&gt;F152,"Y","")</f>
        <v/>
      </c>
      <c r="O153" s="5" t="inlineStr">
        <is>
          <t>Y</t>
        </is>
      </c>
      <c r="P153" s="5" t="inlineStr">
        <is>
          <t>u</t>
        </is>
      </c>
      <c r="Q153" s="5" t="inlineStr">
        <is>
          <t>closed</t>
        </is>
      </c>
      <c r="R153" s="6" t="n"/>
      <c r="S153" s="4" t="n"/>
      <c r="T153" s="4" t="n"/>
      <c r="U153" s="7" t="inlineStr"/>
    </row>
    <row r="154">
      <c r="A154" s="4" t="inlineStr">
        <is>
          <t>garden</t>
        </is>
      </c>
      <c r="B154" s="4" t="inlineStr">
        <is>
          <t>G5</t>
        </is>
      </c>
      <c r="C154" s="4" t="inlineStr">
        <is>
          <t>lead</t>
        </is>
      </c>
      <c r="D154" s="4" t="n">
        <v>8</v>
      </c>
      <c r="E154" s="4" t="n">
        <v>1</v>
      </c>
      <c r="F154" s="4" t="inlineStr">
        <is>
          <t>II</t>
        </is>
      </c>
      <c r="G154" s="4" t="inlineStr">
        <is>
          <t>B</t>
        </is>
      </c>
      <c r="H154" s="4" t="inlineStr">
        <is>
          <t>PD</t>
        </is>
      </c>
      <c r="I154" s="4" t="inlineStr">
        <is>
          <t>7</t>
        </is>
      </c>
      <c r="J154" s="4" t="inlineStr">
        <is>
          <t>G#3</t>
        </is>
      </c>
      <c r="K154" s="4" t="n">
        <v>-1</v>
      </c>
      <c r="L154" s="4">
        <f>IF(OR(C154&lt;&gt;C153,K154="",K153=""),"",K154-K153)</f>
        <v/>
      </c>
      <c r="M154" s="4">
        <f>IF(L154="","",IF(L154=0,"repeat",IF(ABS(L154)&lt;=2,"step","leap")))</f>
        <v/>
      </c>
      <c r="N154" s="4">
        <f>IF(F154&lt;&gt;F153,"Y","")</f>
        <v/>
      </c>
      <c r="O154" s="5" t="inlineStr">
        <is>
          <t>N</t>
        </is>
      </c>
      <c r="P154" s="5" t="inlineStr">
        <is>
          <t>S</t>
        </is>
      </c>
      <c r="Q154" s="5" t="inlineStr">
        <is>
          <t>open</t>
        </is>
      </c>
      <c r="R154" s="6" t="n"/>
      <c r="S154" s="4" t="n"/>
      <c r="T154" s="4" t="n"/>
      <c r="U154" s="7" t="inlineStr">
        <is>
          <t>low growled long note tied over the barline - same octave-drop gesture as 'grow long' (approx)</t>
        </is>
      </c>
    </row>
    <row r="155">
      <c r="A155" s="4" t="inlineStr">
        <is>
          <t>garden</t>
        </is>
      </c>
      <c r="B155" s="4" t="inlineStr">
        <is>
          <t>G5</t>
        </is>
      </c>
      <c r="C155" s="4" t="inlineStr">
        <is>
          <t>lead</t>
        </is>
      </c>
      <c r="D155" s="4" t="n">
        <v>8</v>
      </c>
      <c r="E155" s="4" t="n">
        <v>4</v>
      </c>
      <c r="F155" s="4" t="inlineStr">
        <is>
          <t>II</t>
        </is>
      </c>
      <c r="G155" s="4" t="inlineStr">
        <is>
          <t>B</t>
        </is>
      </c>
      <c r="H155" s="4" t="inlineStr">
        <is>
          <t>PD</t>
        </is>
      </c>
      <c r="I155" s="4" t="inlineStr">
        <is>
          <t>2</t>
        </is>
      </c>
      <c r="J155" s="4" t="inlineStr">
        <is>
          <t>B3</t>
        </is>
      </c>
      <c r="K155" s="4" t="n">
        <v>2</v>
      </c>
      <c r="L155" s="4">
        <f>IF(OR(C155&lt;&gt;C154,K155="",K154=""),"",K155-K154)</f>
        <v/>
      </c>
      <c r="M155" s="4">
        <f>IF(L155="","",IF(L155=0,"repeat",IF(ABS(L155)&lt;=2,"step","leap")))</f>
        <v/>
      </c>
      <c r="N155" s="4">
        <f>IF(F155&lt;&gt;F154,"Y","")</f>
        <v/>
      </c>
      <c r="O155" s="5" t="inlineStr">
        <is>
          <t>Y</t>
        </is>
      </c>
      <c r="P155" s="5" t="inlineStr">
        <is>
          <t>u</t>
        </is>
      </c>
      <c r="Q155" s="5" t="inlineStr">
        <is>
          <t>open</t>
        </is>
      </c>
      <c r="R155" s="6" t="n"/>
      <c r="S155" s="4" t="n"/>
      <c r="T155" s="4" t="n"/>
      <c r="U155" s="7" t="inlineStr">
        <is>
          <t>pickup: I-am-the returns</t>
        </is>
      </c>
    </row>
    <row r="156">
      <c r="A156" s="4" t="inlineStr">
        <is>
          <t>garden</t>
        </is>
      </c>
      <c r="B156" s="4" t="inlineStr">
        <is>
          <t>G5</t>
        </is>
      </c>
      <c r="C156" s="4" t="inlineStr">
        <is>
          <t>lead</t>
        </is>
      </c>
      <c r="D156" s="4" t="n">
        <v>8</v>
      </c>
      <c r="E156" s="4" t="n">
        <v>4.25</v>
      </c>
      <c r="F156" s="4" t="inlineStr">
        <is>
          <t>II</t>
        </is>
      </c>
      <c r="G156" s="4" t="inlineStr">
        <is>
          <t>B</t>
        </is>
      </c>
      <c r="H156" s="4" t="inlineStr">
        <is>
          <t>PD</t>
        </is>
      </c>
      <c r="I156" s="4" t="inlineStr">
        <is>
          <t>2</t>
        </is>
      </c>
      <c r="J156" s="4" t="inlineStr">
        <is>
          <t>B3</t>
        </is>
      </c>
      <c r="K156" s="4" t="n">
        <v>2</v>
      </c>
      <c r="L156" s="4">
        <f>IF(OR(C156&lt;&gt;C155,K156="",K155=""),"",K156-K155)</f>
        <v/>
      </c>
      <c r="M156" s="4">
        <f>IF(L156="","",IF(L156=0,"repeat",IF(ABS(L156)&lt;=2,"step","leap")))</f>
        <v/>
      </c>
      <c r="N156" s="4">
        <f>IF(F156&lt;&gt;F155,"Y","")</f>
        <v/>
      </c>
      <c r="O156" s="5" t="inlineStr">
        <is>
          <t>Y</t>
        </is>
      </c>
      <c r="P156" s="5" t="inlineStr">
        <is>
          <t>u</t>
        </is>
      </c>
      <c r="Q156" s="5" t="inlineStr">
        <is>
          <t>open</t>
        </is>
      </c>
      <c r="R156" s="6" t="n"/>
      <c r="S156" s="4" t="n"/>
      <c r="T156" s="4" t="n"/>
      <c r="U156" s="7" t="inlineStr"/>
    </row>
    <row r="157">
      <c r="A157" s="4" t="inlineStr">
        <is>
          <t>garden</t>
        </is>
      </c>
      <c r="B157" s="4" t="inlineStr">
        <is>
          <t>G5</t>
        </is>
      </c>
      <c r="C157" s="4" t="inlineStr">
        <is>
          <t>lead</t>
        </is>
      </c>
      <c r="D157" s="4" t="n">
        <v>8</v>
      </c>
      <c r="E157" s="4" t="n">
        <v>4.5</v>
      </c>
      <c r="F157" s="4" t="inlineStr">
        <is>
          <t>II</t>
        </is>
      </c>
      <c r="G157" s="4" t="inlineStr">
        <is>
          <t>B</t>
        </is>
      </c>
      <c r="H157" s="4" t="inlineStr">
        <is>
          <t>PD</t>
        </is>
      </c>
      <c r="I157" s="4" t="inlineStr">
        <is>
          <t>b3</t>
        </is>
      </c>
      <c r="J157" s="4" t="inlineStr">
        <is>
          <t>C4</t>
        </is>
      </c>
      <c r="K157" s="4" t="n">
        <v>3</v>
      </c>
      <c r="L157" s="4">
        <f>IF(OR(C157&lt;&gt;C156,K157="",K156=""),"",K157-K156)</f>
        <v/>
      </c>
      <c r="M157" s="4">
        <f>IF(L157="","",IF(L157=0,"repeat",IF(ABS(L157)&lt;=2,"step","leap")))</f>
        <v/>
      </c>
      <c r="N157" s="4">
        <f>IF(F157&lt;&gt;F156,"Y","")</f>
        <v/>
      </c>
      <c r="O157" s="5" t="inlineStr">
        <is>
          <t>N</t>
        </is>
      </c>
      <c r="P157" s="5" t="inlineStr">
        <is>
          <t>u</t>
        </is>
      </c>
      <c r="Q157" s="5" t="inlineStr">
        <is>
          <t>open</t>
        </is>
      </c>
      <c r="R157" s="6" t="n"/>
      <c r="S157" s="4" t="n"/>
      <c r="T157" s="4" t="n"/>
      <c r="U157" s="7" t="inlineStr">
        <is>
          <t>tied into the chorus repeat (natural carried by tie)</t>
        </is>
      </c>
    </row>
    <row r="158">
      <c r="A158" s="4" t="inlineStr">
        <is>
          <t>chorus_final</t>
        </is>
      </c>
      <c r="B158" s="4" t="inlineStr">
        <is>
          <t>goo_ext</t>
        </is>
      </c>
      <c r="C158" s="4" t="inlineStr">
        <is>
          <t>lead</t>
        </is>
      </c>
      <c r="D158" s="4" t="n">
        <v>5</v>
      </c>
      <c r="E158" s="4" t="n">
        <v>1</v>
      </c>
      <c r="F158" s="4" t="inlineStr">
        <is>
          <t>IV</t>
        </is>
      </c>
      <c r="G158" s="4" t="inlineStr">
        <is>
          <t>D</t>
        </is>
      </c>
      <c r="H158" s="4" t="inlineStr">
        <is>
          <t>D</t>
        </is>
      </c>
      <c r="I158" s="4" t="inlineStr">
        <is>
          <t>5</t>
        </is>
      </c>
      <c r="J158" s="4" t="inlineStr">
        <is>
          <t>E4</t>
        </is>
      </c>
      <c r="K158" s="4" t="n">
        <v>7</v>
      </c>
      <c r="L158" s="4">
        <f>IF(OR(C158&lt;&gt;C157,K158="",K157=""),"",K158-K157)</f>
        <v/>
      </c>
      <c r="M158" s="4">
        <f>IF(L158="","",IF(L158=0,"repeat",IF(ABS(L158)&lt;=2,"step","leap")))</f>
        <v/>
      </c>
      <c r="N158" s="4">
        <f>IF(F158&lt;&gt;F157,"Y","")</f>
        <v/>
      </c>
      <c r="O158" s="5" t="inlineStr">
        <is>
          <t>N</t>
        </is>
      </c>
      <c r="P158" s="5" t="inlineStr">
        <is>
          <t>S</t>
        </is>
      </c>
      <c r="Q158" s="5" t="inlineStr">
        <is>
          <t>closed</t>
        </is>
      </c>
      <c r="R158" s="6" t="n"/>
      <c r="S158" s="4" t="n"/>
      <c r="T158" s="4" t="n"/>
      <c r="U158" s="7" t="inlineStr">
        <is>
          <t>chorus 3 extends the goo-goo tag one extra bar over IV</t>
        </is>
      </c>
    </row>
    <row r="159">
      <c r="A159" s="4" t="inlineStr">
        <is>
          <t>chorus_final</t>
        </is>
      </c>
      <c r="B159" s="4" t="inlineStr">
        <is>
          <t>goo_ext</t>
        </is>
      </c>
      <c r="C159" s="4" t="inlineStr">
        <is>
          <t>lead</t>
        </is>
      </c>
      <c r="D159" s="4" t="n">
        <v>5</v>
      </c>
      <c r="E159" s="4" t="n">
        <v>1.5</v>
      </c>
      <c r="F159" s="4" t="inlineStr">
        <is>
          <t>IV</t>
        </is>
      </c>
      <c r="G159" s="4" t="inlineStr">
        <is>
          <t>D</t>
        </is>
      </c>
      <c r="H159" s="4" t="inlineStr">
        <is>
          <t>D</t>
        </is>
      </c>
      <c r="I159" s="4" t="inlineStr">
        <is>
          <t>5</t>
        </is>
      </c>
      <c r="J159" s="4" t="inlineStr">
        <is>
          <t>E4</t>
        </is>
      </c>
      <c r="K159" s="4" t="n">
        <v>7</v>
      </c>
      <c r="L159" s="4">
        <f>IF(OR(C159&lt;&gt;C158,K159="",K158=""),"",K159-K158)</f>
        <v/>
      </c>
      <c r="M159" s="4">
        <f>IF(L159="","",IF(L159=0,"repeat",IF(ABS(L159)&lt;=2,"step","leap")))</f>
        <v/>
      </c>
      <c r="N159" s="4">
        <f>IF(F159&lt;&gt;F158,"Y","")</f>
        <v/>
      </c>
      <c r="O159" s="5" t="inlineStr">
        <is>
          <t>N</t>
        </is>
      </c>
      <c r="P159" s="5" t="inlineStr">
        <is>
          <t>u</t>
        </is>
      </c>
      <c r="Q159" s="5" t="inlineStr">
        <is>
          <t>closed</t>
        </is>
      </c>
      <c r="R159" s="6" t="n"/>
      <c r="S159" s="4" t="n"/>
      <c r="T159" s="4" t="n"/>
      <c r="U159" s="7" t="inlineStr">
        <is>
          <t>tied</t>
        </is>
      </c>
    </row>
    <row r="160">
      <c r="A160" s="4" t="inlineStr">
        <is>
          <t>chorus_final</t>
        </is>
      </c>
      <c r="B160" s="4" t="inlineStr">
        <is>
          <t>goo_ext</t>
        </is>
      </c>
      <c r="C160" s="4" t="inlineStr">
        <is>
          <t>lead</t>
        </is>
      </c>
      <c r="D160" s="4" t="n">
        <v>5</v>
      </c>
      <c r="E160" s="4" t="n">
        <v>2.5</v>
      </c>
      <c r="F160" s="4" t="inlineStr">
        <is>
          <t>IV</t>
        </is>
      </c>
      <c r="G160" s="4" t="inlineStr">
        <is>
          <t>D</t>
        </is>
      </c>
      <c r="H160" s="4" t="inlineStr">
        <is>
          <t>D</t>
        </is>
      </c>
      <c r="I160" s="4" t="inlineStr">
        <is>
          <t>4</t>
        </is>
      </c>
      <c r="J160" s="4" t="inlineStr">
        <is>
          <t>D4</t>
        </is>
      </c>
      <c r="K160" s="4" t="n">
        <v>5</v>
      </c>
      <c r="L160" s="4">
        <f>IF(OR(C160&lt;&gt;C159,K160="",K159=""),"",K160-K159)</f>
        <v/>
      </c>
      <c r="M160" s="4">
        <f>IF(L160="","",IF(L160=0,"repeat",IF(ABS(L160)&lt;=2,"step","leap")))</f>
        <v/>
      </c>
      <c r="N160" s="4">
        <f>IF(F160&lt;&gt;F159,"Y","")</f>
        <v/>
      </c>
      <c r="O160" s="5" t="inlineStr">
        <is>
          <t>Y</t>
        </is>
      </c>
      <c r="P160" s="5" t="inlineStr">
        <is>
          <t>u</t>
        </is>
      </c>
      <c r="Q160" s="5" t="inlineStr">
        <is>
          <t>closed</t>
        </is>
      </c>
      <c r="R160" s="6" t="n"/>
      <c r="S160" s="4" t="n"/>
      <c r="T160" s="4" t="n"/>
      <c r="U160" s="7" t="inlineStr">
        <is>
          <t>approx</t>
        </is>
      </c>
    </row>
    <row r="161">
      <c r="A161" s="4" t="inlineStr">
        <is>
          <t>chorus_final</t>
        </is>
      </c>
      <c r="B161" s="4" t="inlineStr">
        <is>
          <t>goo_ext</t>
        </is>
      </c>
      <c r="C161" s="4" t="inlineStr">
        <is>
          <t>lead</t>
        </is>
      </c>
      <c r="D161" s="4" t="n">
        <v>5</v>
      </c>
      <c r="E161" s="4" t="n">
        <v>3</v>
      </c>
      <c r="F161" s="4" t="inlineStr">
        <is>
          <t>IV</t>
        </is>
      </c>
      <c r="G161" s="4" t="inlineStr">
        <is>
          <t>D</t>
        </is>
      </c>
      <c r="H161" s="4" t="inlineStr">
        <is>
          <t>D</t>
        </is>
      </c>
      <c r="I161" s="4" t="inlineStr">
        <is>
          <t>5</t>
        </is>
      </c>
      <c r="J161" s="4" t="inlineStr">
        <is>
          <t>E4</t>
        </is>
      </c>
      <c r="K161" s="4" t="n">
        <v>7</v>
      </c>
      <c r="L161" s="4">
        <f>IF(OR(C161&lt;&gt;C160,K161="",K160=""),"",K161-K160)</f>
        <v/>
      </c>
      <c r="M161" s="4">
        <f>IF(L161="","",IF(L161=0,"repeat",IF(ABS(L161)&lt;=2,"step","leap")))</f>
        <v/>
      </c>
      <c r="N161" s="4">
        <f>IF(F161&lt;&gt;F160,"Y","")</f>
        <v/>
      </c>
      <c r="O161" s="5" t="inlineStr">
        <is>
          <t>N</t>
        </is>
      </c>
      <c r="P161" s="5" t="inlineStr">
        <is>
          <t>u</t>
        </is>
      </c>
      <c r="Q161" s="5" t="inlineStr">
        <is>
          <t>closed</t>
        </is>
      </c>
      <c r="R161" s="6" t="n"/>
      <c r="S161" s="4" t="n"/>
      <c r="T161" s="4" t="n"/>
      <c r="U161" s="7" t="inlineStr"/>
    </row>
    <row r="162">
      <c r="A162" s="4" t="inlineStr">
        <is>
          <t>chorus_final</t>
        </is>
      </c>
      <c r="B162" s="4" t="inlineStr">
        <is>
          <t>goo_ext</t>
        </is>
      </c>
      <c r="C162" s="4" t="inlineStr">
        <is>
          <t>lead</t>
        </is>
      </c>
      <c r="D162" s="4" t="n">
        <v>5</v>
      </c>
      <c r="E162" s="4" t="n">
        <v>3.5</v>
      </c>
      <c r="F162" s="4" t="inlineStr">
        <is>
          <t>IV</t>
        </is>
      </c>
      <c r="G162" s="4" t="inlineStr">
        <is>
          <t>D</t>
        </is>
      </c>
      <c r="H162" s="4" t="inlineStr">
        <is>
          <t>D</t>
        </is>
      </c>
      <c r="I162" s="4" t="inlineStr">
        <is>
          <t>5</t>
        </is>
      </c>
      <c r="J162" s="4" t="inlineStr">
        <is>
          <t>E4</t>
        </is>
      </c>
      <c r="K162" s="4" t="n">
        <v>7</v>
      </c>
      <c r="L162" s="4">
        <f>IF(OR(C162&lt;&gt;C161,K162="",K161=""),"",K162-K161)</f>
        <v/>
      </c>
      <c r="M162" s="4">
        <f>IF(L162="","",IF(L162=0,"repeat",IF(ABS(L162)&lt;=2,"step","leap")))</f>
        <v/>
      </c>
      <c r="N162" s="4">
        <f>IF(F162&lt;&gt;F161,"Y","")</f>
        <v/>
      </c>
      <c r="O162" s="5" t="inlineStr">
        <is>
          <t>N</t>
        </is>
      </c>
      <c r="P162" s="5" t="inlineStr">
        <is>
          <t>S</t>
        </is>
      </c>
      <c r="Q162" s="5" t="inlineStr">
        <is>
          <t>closed</t>
        </is>
      </c>
      <c r="R162" s="6" t="n"/>
      <c r="S162" s="4" t="n"/>
      <c r="T162" s="4" t="n"/>
      <c r="U162" s="7" t="inlineStr">
        <is>
          <t>tied, decays into Coda 2</t>
        </is>
      </c>
    </row>
    <row r="163">
      <c r="A163" s="4" t="inlineStr">
        <is>
          <t>outro</t>
        </is>
      </c>
      <c r="B163" s="4" t="inlineStr">
        <is>
          <t>O1</t>
        </is>
      </c>
      <c r="C163" s="4" t="inlineStr">
        <is>
          <t>lead</t>
        </is>
      </c>
      <c r="D163" s="4" t="n">
        <v>1</v>
      </c>
      <c r="E163" s="4" t="n">
        <v>1.5</v>
      </c>
      <c r="F163" s="4" t="inlineStr">
        <is>
          <t>IV</t>
        </is>
      </c>
      <c r="G163" s="4" t="inlineStr">
        <is>
          <t>D</t>
        </is>
      </c>
      <c r="H163" s="4" t="inlineStr">
        <is>
          <t>D</t>
        </is>
      </c>
      <c r="I163" s="4" t="inlineStr">
        <is>
          <t>5</t>
        </is>
      </c>
      <c r="J163" s="4" t="inlineStr">
        <is>
          <t>E4</t>
        </is>
      </c>
      <c r="K163" s="4" t="n">
        <v>7</v>
      </c>
      <c r="L163" s="4">
        <f>IF(OR(C163&lt;&gt;C162,K163="",K162=""),"",K163-K162)</f>
        <v/>
      </c>
      <c r="M163" s="4">
        <f>IF(L163="","",IF(L163=0,"repeat",IF(ABS(L163)&lt;=2,"step","leap")))</f>
        <v/>
      </c>
      <c r="N163" s="4">
        <f>IF(F163&lt;&gt;F162,"Y","")</f>
        <v/>
      </c>
      <c r="O163" s="5" t="inlineStr">
        <is>
          <t>N</t>
        </is>
      </c>
      <c r="P163" s="5" t="inlineStr">
        <is>
          <t>S</t>
        </is>
      </c>
      <c r="Q163" s="5" t="inlineStr">
        <is>
          <t>closed</t>
        </is>
      </c>
      <c r="R163" s="6" t="n"/>
      <c r="S163" s="4" t="n"/>
      <c r="T163" s="4" t="n"/>
      <c r="U163" s="7" t="inlineStr">
        <is>
          <t>Coda 2: goo-chant fragments over the descending outro wheel</t>
        </is>
      </c>
    </row>
    <row r="164">
      <c r="A164" s="4" t="inlineStr">
        <is>
          <t>outro</t>
        </is>
      </c>
      <c r="B164" s="4" t="inlineStr">
        <is>
          <t>O1</t>
        </is>
      </c>
      <c r="C164" s="4" t="inlineStr">
        <is>
          <t>lead</t>
        </is>
      </c>
      <c r="D164" s="4" t="n">
        <v>1</v>
      </c>
      <c r="E164" s="4" t="n">
        <v>2</v>
      </c>
      <c r="F164" s="4" t="inlineStr">
        <is>
          <t>IV</t>
        </is>
      </c>
      <c r="G164" s="4" t="inlineStr">
        <is>
          <t>D</t>
        </is>
      </c>
      <c r="H164" s="4" t="inlineStr">
        <is>
          <t>D</t>
        </is>
      </c>
      <c r="I164" s="4" t="inlineStr">
        <is>
          <t>4</t>
        </is>
      </c>
      <c r="J164" s="4" t="inlineStr">
        <is>
          <t>D4</t>
        </is>
      </c>
      <c r="K164" s="4" t="n">
        <v>5</v>
      </c>
      <c r="L164" s="4">
        <f>IF(OR(C164&lt;&gt;C163,K164="",K163=""),"",K164-K163)</f>
        <v/>
      </c>
      <c r="M164" s="4">
        <f>IF(L164="","",IF(L164=0,"repeat",IF(ABS(L164)&lt;=2,"step","leap")))</f>
        <v/>
      </c>
      <c r="N164" s="4">
        <f>IF(F164&lt;&gt;F163,"Y","")</f>
        <v/>
      </c>
      <c r="O164" s="5" t="inlineStr">
        <is>
          <t>Y</t>
        </is>
      </c>
      <c r="P164" s="5" t="inlineStr">
        <is>
          <t>u</t>
        </is>
      </c>
      <c r="Q164" s="5" t="inlineStr">
        <is>
          <t>closed</t>
        </is>
      </c>
      <c r="R164" s="6" t="n"/>
      <c r="S164" s="4" t="n"/>
      <c r="T164" s="4" t="n"/>
      <c r="U164" s="7" t="inlineStr">
        <is>
          <t>approx</t>
        </is>
      </c>
    </row>
    <row r="165">
      <c r="A165" s="4" t="inlineStr">
        <is>
          <t>outro</t>
        </is>
      </c>
      <c r="B165" s="4" t="inlineStr">
        <is>
          <t>O1</t>
        </is>
      </c>
      <c r="C165" s="4" t="inlineStr">
        <is>
          <t>lead</t>
        </is>
      </c>
      <c r="D165" s="4" t="n">
        <v>1</v>
      </c>
      <c r="E165" s="4" t="n">
        <v>2.5</v>
      </c>
      <c r="F165" s="4" t="inlineStr">
        <is>
          <t>IV</t>
        </is>
      </c>
      <c r="G165" s="4" t="inlineStr">
        <is>
          <t>D</t>
        </is>
      </c>
      <c r="H165" s="4" t="inlineStr">
        <is>
          <t>D</t>
        </is>
      </c>
      <c r="I165" s="4" t="inlineStr">
        <is>
          <t>5</t>
        </is>
      </c>
      <c r="J165" s="4" t="inlineStr">
        <is>
          <t>E4</t>
        </is>
      </c>
      <c r="K165" s="4" t="n">
        <v>7</v>
      </c>
      <c r="L165" s="4">
        <f>IF(OR(C165&lt;&gt;C164,K165="",K164=""),"",K165-K164)</f>
        <v/>
      </c>
      <c r="M165" s="4">
        <f>IF(L165="","",IF(L165=0,"repeat",IF(ABS(L165)&lt;=2,"step","leap")))</f>
        <v/>
      </c>
      <c r="N165" s="4">
        <f>IF(F165&lt;&gt;F164,"Y","")</f>
        <v/>
      </c>
      <c r="O165" s="5" t="inlineStr">
        <is>
          <t>N</t>
        </is>
      </c>
      <c r="P165" s="5" t="inlineStr">
        <is>
          <t>S</t>
        </is>
      </c>
      <c r="Q165" s="5" t="inlineStr">
        <is>
          <t>closed</t>
        </is>
      </c>
      <c r="R165" s="6" t="n"/>
      <c r="S165" s="4" t="n"/>
      <c r="T165" s="4" t="n"/>
      <c r="U165" s="7" t="inlineStr">
        <is>
          <t>slurs to 4, tied over; bar 2 vocal rests</t>
        </is>
      </c>
    </row>
    <row r="166">
      <c r="A166" s="4" t="inlineStr">
        <is>
          <t>outro</t>
        </is>
      </c>
      <c r="B166" s="4" t="inlineStr">
        <is>
          <t>O2</t>
        </is>
      </c>
      <c r="C166" s="4" t="inlineStr">
        <is>
          <t>lead</t>
        </is>
      </c>
      <c r="D166" s="4" t="n">
        <v>3</v>
      </c>
      <c r="E166" s="4" t="n">
        <v>1</v>
      </c>
      <c r="F166" s="4" t="inlineStr">
        <is>
          <t>bIII</t>
        </is>
      </c>
      <c r="G166" s="4" t="inlineStr">
        <is>
          <t>C</t>
        </is>
      </c>
      <c r="H166" s="4" t="inlineStr">
        <is>
          <t>D</t>
        </is>
      </c>
      <c r="I166" s="4" t="inlineStr">
        <is>
          <t>5</t>
        </is>
      </c>
      <c r="J166" s="4" t="inlineStr">
        <is>
          <t>E4</t>
        </is>
      </c>
      <c r="K166" s="4" t="n">
        <v>7</v>
      </c>
      <c r="L166" s="4">
        <f>IF(OR(C166&lt;&gt;C165,K166="",K165=""),"",K166-K165)</f>
        <v/>
      </c>
      <c r="M166" s="4">
        <f>IF(L166="","",IF(L166=0,"repeat",IF(ABS(L166)&lt;=2,"step","leap")))</f>
        <v/>
      </c>
      <c r="N166" s="4">
        <f>IF(F166&lt;&gt;F165,"Y","")</f>
        <v/>
      </c>
      <c r="O166" s="5" t="inlineStr">
        <is>
          <t>Y</t>
        </is>
      </c>
      <c r="P166" s="5" t="inlineStr">
        <is>
          <t>S</t>
        </is>
      </c>
      <c r="Q166" s="5" t="inlineStr">
        <is>
          <t>closed</t>
        </is>
      </c>
      <c r="R166" s="6" t="n"/>
      <c r="S166" s="4" t="n"/>
      <c r="T166" s="4" t="n"/>
      <c r="U166" s="7" t="inlineStr">
        <is>
          <t>densest goo bar: eight chant notes</t>
        </is>
      </c>
    </row>
    <row r="167">
      <c r="A167" s="4" t="inlineStr">
        <is>
          <t>outro</t>
        </is>
      </c>
      <c r="B167" s="4" t="inlineStr">
        <is>
          <t>O2</t>
        </is>
      </c>
      <c r="C167" s="4" t="inlineStr">
        <is>
          <t>lead</t>
        </is>
      </c>
      <c r="D167" s="4" t="n">
        <v>3</v>
      </c>
      <c r="E167" s="4" t="n">
        <v>1.25</v>
      </c>
      <c r="F167" s="4" t="inlineStr">
        <is>
          <t>bIII</t>
        </is>
      </c>
      <c r="G167" s="4" t="inlineStr">
        <is>
          <t>C</t>
        </is>
      </c>
      <c r="H167" s="4" t="inlineStr">
        <is>
          <t>D</t>
        </is>
      </c>
      <c r="I167" s="4" t="inlineStr">
        <is>
          <t>5</t>
        </is>
      </c>
      <c r="J167" s="4" t="inlineStr">
        <is>
          <t>E4</t>
        </is>
      </c>
      <c r="K167" s="4" t="n">
        <v>7</v>
      </c>
      <c r="L167" s="4">
        <f>IF(OR(C167&lt;&gt;C166,K167="",K166=""),"",K167-K166)</f>
        <v/>
      </c>
      <c r="M167" s="4">
        <f>IF(L167="","",IF(L167=0,"repeat",IF(ABS(L167)&lt;=2,"step","leap")))</f>
        <v/>
      </c>
      <c r="N167" s="4">
        <f>IF(F167&lt;&gt;F166,"Y","")</f>
        <v/>
      </c>
      <c r="O167" s="5" t="inlineStr">
        <is>
          <t>Y</t>
        </is>
      </c>
      <c r="P167" s="5" t="inlineStr">
        <is>
          <t>u</t>
        </is>
      </c>
      <c r="Q167" s="5" t="inlineStr">
        <is>
          <t>closed</t>
        </is>
      </c>
      <c r="R167" s="6" t="n"/>
      <c r="S167" s="4" t="n"/>
      <c r="T167" s="4" t="n"/>
      <c r="U167" s="7" t="inlineStr"/>
    </row>
    <row r="168">
      <c r="A168" s="4" t="inlineStr">
        <is>
          <t>outro</t>
        </is>
      </c>
      <c r="B168" s="4" t="inlineStr">
        <is>
          <t>O2</t>
        </is>
      </c>
      <c r="C168" s="4" t="inlineStr">
        <is>
          <t>lead</t>
        </is>
      </c>
      <c r="D168" s="4" t="n">
        <v>3</v>
      </c>
      <c r="E168" s="4" t="n">
        <v>1.5</v>
      </c>
      <c r="F168" s="4" t="inlineStr">
        <is>
          <t>bIII</t>
        </is>
      </c>
      <c r="G168" s="4" t="inlineStr">
        <is>
          <t>C</t>
        </is>
      </c>
      <c r="H168" s="4" t="inlineStr">
        <is>
          <t>D</t>
        </is>
      </c>
      <c r="I168" s="4" t="inlineStr">
        <is>
          <t>5</t>
        </is>
      </c>
      <c r="J168" s="4" t="inlineStr">
        <is>
          <t>E4</t>
        </is>
      </c>
      <c r="K168" s="4" t="n">
        <v>7</v>
      </c>
      <c r="L168" s="4">
        <f>IF(OR(C168&lt;&gt;C167,K168="",K167=""),"",K168-K167)</f>
        <v/>
      </c>
      <c r="M168" s="4">
        <f>IF(L168="","",IF(L168=0,"repeat",IF(ABS(L168)&lt;=2,"step","leap")))</f>
        <v/>
      </c>
      <c r="N168" s="4">
        <f>IF(F168&lt;&gt;F167,"Y","")</f>
        <v/>
      </c>
      <c r="O168" s="5" t="inlineStr">
        <is>
          <t>Y</t>
        </is>
      </c>
      <c r="P168" s="5" t="inlineStr">
        <is>
          <t>u</t>
        </is>
      </c>
      <c r="Q168" s="5" t="inlineStr">
        <is>
          <t>closed</t>
        </is>
      </c>
      <c r="R168" s="6" t="n"/>
      <c r="S168" s="4" t="n"/>
      <c r="T168" s="4" t="n"/>
      <c r="U168" s="7" t="inlineStr"/>
    </row>
    <row r="169">
      <c r="A169" s="4" t="inlineStr">
        <is>
          <t>outro</t>
        </is>
      </c>
      <c r="B169" s="4" t="inlineStr">
        <is>
          <t>O2</t>
        </is>
      </c>
      <c r="C169" s="4" t="inlineStr">
        <is>
          <t>lead</t>
        </is>
      </c>
      <c r="D169" s="4" t="n">
        <v>3</v>
      </c>
      <c r="E169" s="4" t="n">
        <v>1.75</v>
      </c>
      <c r="F169" s="4" t="inlineStr">
        <is>
          <t>bIII</t>
        </is>
      </c>
      <c r="G169" s="4" t="inlineStr">
        <is>
          <t>C</t>
        </is>
      </c>
      <c r="H169" s="4" t="inlineStr">
        <is>
          <t>D</t>
        </is>
      </c>
      <c r="I169" s="4" t="inlineStr">
        <is>
          <t>5</t>
        </is>
      </c>
      <c r="J169" s="4" t="inlineStr">
        <is>
          <t>E4</t>
        </is>
      </c>
      <c r="K169" s="4" t="n">
        <v>7</v>
      </c>
      <c r="L169" s="4">
        <f>IF(OR(C169&lt;&gt;C168,K169="",K168=""),"",K169-K168)</f>
        <v/>
      </c>
      <c r="M169" s="4">
        <f>IF(L169="","",IF(L169=0,"repeat",IF(ABS(L169)&lt;=2,"step","leap")))</f>
        <v/>
      </c>
      <c r="N169" s="4">
        <f>IF(F169&lt;&gt;F168,"Y","")</f>
        <v/>
      </c>
      <c r="O169" s="5" t="inlineStr">
        <is>
          <t>Y</t>
        </is>
      </c>
      <c r="P169" s="5" t="inlineStr">
        <is>
          <t>u</t>
        </is>
      </c>
      <c r="Q169" s="5" t="inlineStr">
        <is>
          <t>closed</t>
        </is>
      </c>
      <c r="R169" s="6" t="n"/>
      <c r="S169" s="4" t="n"/>
      <c r="T169" s="4" t="n"/>
      <c r="U169" s="7" t="inlineStr"/>
    </row>
    <row r="170">
      <c r="A170" s="4" t="inlineStr">
        <is>
          <t>outro</t>
        </is>
      </c>
      <c r="B170" s="4" t="inlineStr">
        <is>
          <t>O2</t>
        </is>
      </c>
      <c r="C170" s="4" t="inlineStr">
        <is>
          <t>lead</t>
        </is>
      </c>
      <c r="D170" s="4" t="n">
        <v>3</v>
      </c>
      <c r="E170" s="4" t="n">
        <v>2.5</v>
      </c>
      <c r="F170" s="4" t="inlineStr">
        <is>
          <t>bIII</t>
        </is>
      </c>
      <c r="G170" s="4" t="inlineStr">
        <is>
          <t>C</t>
        </is>
      </c>
      <c r="H170" s="4" t="inlineStr">
        <is>
          <t>D</t>
        </is>
      </c>
      <c r="I170" s="4" t="inlineStr">
        <is>
          <t>5</t>
        </is>
      </c>
      <c r="J170" s="4" t="inlineStr">
        <is>
          <t>E4</t>
        </is>
      </c>
      <c r="K170" s="4" t="n">
        <v>7</v>
      </c>
      <c r="L170" s="4">
        <f>IF(OR(C170&lt;&gt;C169,K170="",K169=""),"",K170-K169)</f>
        <v/>
      </c>
      <c r="M170" s="4">
        <f>IF(L170="","",IF(L170=0,"repeat",IF(ABS(L170)&lt;=2,"step","leap")))</f>
        <v/>
      </c>
      <c r="N170" s="4">
        <f>IF(F170&lt;&gt;F169,"Y","")</f>
        <v/>
      </c>
      <c r="O170" s="5" t="inlineStr">
        <is>
          <t>Y</t>
        </is>
      </c>
      <c r="P170" s="5" t="inlineStr">
        <is>
          <t>u</t>
        </is>
      </c>
      <c r="Q170" s="5" t="inlineStr">
        <is>
          <t>closed</t>
        </is>
      </c>
      <c r="R170" s="6" t="n"/>
      <c r="S170" s="4" t="n"/>
      <c r="T170" s="4" t="n"/>
      <c r="U170" s="7" t="inlineStr"/>
    </row>
    <row r="171">
      <c r="A171" s="4" t="inlineStr">
        <is>
          <t>outro</t>
        </is>
      </c>
      <c r="B171" s="4" t="inlineStr">
        <is>
          <t>O2</t>
        </is>
      </c>
      <c r="C171" s="4" t="inlineStr">
        <is>
          <t>lead</t>
        </is>
      </c>
      <c r="D171" s="4" t="n">
        <v>3</v>
      </c>
      <c r="E171" s="4" t="n">
        <v>3</v>
      </c>
      <c r="F171" s="4" t="inlineStr">
        <is>
          <t>bIII</t>
        </is>
      </c>
      <c r="G171" s="4" t="inlineStr">
        <is>
          <t>C</t>
        </is>
      </c>
      <c r="H171" s="4" t="inlineStr">
        <is>
          <t>D</t>
        </is>
      </c>
      <c r="I171" s="4" t="inlineStr">
        <is>
          <t>5</t>
        </is>
      </c>
      <c r="J171" s="4" t="inlineStr">
        <is>
          <t>E4</t>
        </is>
      </c>
      <c r="K171" s="4" t="n">
        <v>7</v>
      </c>
      <c r="L171" s="4">
        <f>IF(OR(C171&lt;&gt;C170,K171="",K170=""),"",K171-K170)</f>
        <v/>
      </c>
      <c r="M171" s="4">
        <f>IF(L171="","",IF(L171=0,"repeat",IF(ABS(L171)&lt;=2,"step","leap")))</f>
        <v/>
      </c>
      <c r="N171" s="4">
        <f>IF(F171&lt;&gt;F170,"Y","")</f>
        <v/>
      </c>
      <c r="O171" s="5" t="inlineStr">
        <is>
          <t>Y</t>
        </is>
      </c>
      <c r="P171" s="5" t="inlineStr">
        <is>
          <t>S</t>
        </is>
      </c>
      <c r="Q171" s="5" t="inlineStr">
        <is>
          <t>closed</t>
        </is>
      </c>
      <c r="R171" s="6" t="n"/>
      <c r="S171" s="4" t="n"/>
      <c r="T171" s="4" t="n"/>
      <c r="U171" s="7" t="inlineStr">
        <is>
          <t>tied</t>
        </is>
      </c>
    </row>
    <row r="172">
      <c r="A172" s="4" t="inlineStr">
        <is>
          <t>outro</t>
        </is>
      </c>
      <c r="B172" s="4" t="inlineStr">
        <is>
          <t>O2</t>
        </is>
      </c>
      <c r="C172" s="4" t="inlineStr">
        <is>
          <t>lead</t>
        </is>
      </c>
      <c r="D172" s="4" t="n">
        <v>3</v>
      </c>
      <c r="E172" s="4" t="n">
        <v>3.5</v>
      </c>
      <c r="F172" s="4" t="inlineStr">
        <is>
          <t>bIII</t>
        </is>
      </c>
      <c r="G172" s="4" t="inlineStr">
        <is>
          <t>C</t>
        </is>
      </c>
      <c r="H172" s="4" t="inlineStr">
        <is>
          <t>D</t>
        </is>
      </c>
      <c r="I172" s="4" t="inlineStr">
        <is>
          <t>5</t>
        </is>
      </c>
      <c r="J172" s="4" t="inlineStr">
        <is>
          <t>E4</t>
        </is>
      </c>
      <c r="K172" s="4" t="n">
        <v>7</v>
      </c>
      <c r="L172" s="4">
        <f>IF(OR(C172&lt;&gt;C171,K172="",K171=""),"",K172-K171)</f>
        <v/>
      </c>
      <c r="M172" s="4">
        <f>IF(L172="","",IF(L172=0,"repeat",IF(ABS(L172)&lt;=2,"step","leap")))</f>
        <v/>
      </c>
      <c r="N172" s="4">
        <f>IF(F172&lt;&gt;F171,"Y","")</f>
        <v/>
      </c>
      <c r="O172" s="5" t="inlineStr">
        <is>
          <t>Y</t>
        </is>
      </c>
      <c r="P172" s="5" t="inlineStr">
        <is>
          <t>u</t>
        </is>
      </c>
      <c r="Q172" s="5" t="inlineStr">
        <is>
          <t>closed</t>
        </is>
      </c>
      <c r="R172" s="6" t="n"/>
      <c r="S172" s="4" t="n"/>
      <c r="T172" s="4" t="n"/>
      <c r="U172" s="7" t="inlineStr"/>
    </row>
    <row r="173">
      <c r="A173" s="4" t="inlineStr">
        <is>
          <t>outro</t>
        </is>
      </c>
      <c r="B173" s="4" t="inlineStr">
        <is>
          <t>O2</t>
        </is>
      </c>
      <c r="C173" s="4" t="inlineStr">
        <is>
          <t>lead</t>
        </is>
      </c>
      <c r="D173" s="4" t="n">
        <v>3</v>
      </c>
      <c r="E173" s="4" t="n">
        <v>4</v>
      </c>
      <c r="F173" s="4" t="inlineStr">
        <is>
          <t>bIII</t>
        </is>
      </c>
      <c r="G173" s="4" t="inlineStr">
        <is>
          <t>C</t>
        </is>
      </c>
      <c r="H173" s="4" t="inlineStr">
        <is>
          <t>D</t>
        </is>
      </c>
      <c r="I173" s="4" t="inlineStr">
        <is>
          <t>4</t>
        </is>
      </c>
      <c r="J173" s="4" t="inlineStr">
        <is>
          <t>D4</t>
        </is>
      </c>
      <c r="K173" s="4" t="n">
        <v>5</v>
      </c>
      <c r="L173" s="4">
        <f>IF(OR(C173&lt;&gt;C172,K173="",K172=""),"",K173-K172)</f>
        <v/>
      </c>
      <c r="M173" s="4">
        <f>IF(L173="","",IF(L173=0,"repeat",IF(ABS(L173)&lt;=2,"step","leap")))</f>
        <v/>
      </c>
      <c r="N173" s="4">
        <f>IF(F173&lt;&gt;F172,"Y","")</f>
        <v/>
      </c>
      <c r="O173" s="5" t="inlineStr">
        <is>
          <t>N</t>
        </is>
      </c>
      <c r="P173" s="5" t="inlineStr">
        <is>
          <t>u</t>
        </is>
      </c>
      <c r="Q173" s="5" t="inlineStr">
        <is>
          <t>closed</t>
        </is>
      </c>
      <c r="R173" s="6" t="n"/>
      <c r="S173" s="4" t="n"/>
      <c r="T173" s="4" t="n"/>
      <c r="U173" s="7" t="inlineStr">
        <is>
          <t>approx</t>
        </is>
      </c>
    </row>
    <row r="174">
      <c r="A174" s="4" t="inlineStr">
        <is>
          <t>outro</t>
        </is>
      </c>
      <c r="B174" s="4" t="inlineStr">
        <is>
          <t>O2</t>
        </is>
      </c>
      <c r="C174" s="4" t="inlineStr">
        <is>
          <t>lead</t>
        </is>
      </c>
      <c r="D174" s="4" t="n">
        <v>3</v>
      </c>
      <c r="E174" s="4" t="n">
        <v>4.25</v>
      </c>
      <c r="F174" s="4" t="inlineStr">
        <is>
          <t>bIII</t>
        </is>
      </c>
      <c r="G174" s="4" t="inlineStr">
        <is>
          <t>C</t>
        </is>
      </c>
      <c r="H174" s="4" t="inlineStr">
        <is>
          <t>D</t>
        </is>
      </c>
      <c r="I174" s="4" t="inlineStr">
        <is>
          <t>5</t>
        </is>
      </c>
      <c r="J174" s="4" t="inlineStr">
        <is>
          <t>E4</t>
        </is>
      </c>
      <c r="K174" s="4" t="n">
        <v>7</v>
      </c>
      <c r="L174" s="4">
        <f>IF(OR(C174&lt;&gt;C173,K174="",K173=""),"",K174-K173)</f>
        <v/>
      </c>
      <c r="M174" s="4">
        <f>IF(L174="","",IF(L174=0,"repeat",IF(ABS(L174)&lt;=2,"step","leap")))</f>
        <v/>
      </c>
      <c r="N174" s="4">
        <f>IF(F174&lt;&gt;F173,"Y","")</f>
        <v/>
      </c>
      <c r="O174" s="5" t="inlineStr">
        <is>
          <t>Y</t>
        </is>
      </c>
      <c r="P174" s="5" t="inlineStr">
        <is>
          <t>S</t>
        </is>
      </c>
      <c r="Q174" s="5" t="inlineStr">
        <is>
          <t>closed</t>
        </is>
      </c>
      <c r="R174" s="6" t="n"/>
      <c r="S174" s="4" t="n"/>
      <c r="T174" s="4" t="n"/>
      <c r="U174" s="7" t="inlineStr"/>
    </row>
    <row r="175">
      <c r="A175" s="4" t="inlineStr">
        <is>
          <t>outro</t>
        </is>
      </c>
      <c r="B175" s="4" t="inlineStr">
        <is>
          <t>O2</t>
        </is>
      </c>
      <c r="C175" s="4" t="inlineStr">
        <is>
          <t>lead</t>
        </is>
      </c>
      <c r="D175" s="4" t="n">
        <v>3</v>
      </c>
      <c r="E175" s="4" t="n">
        <v>4.75</v>
      </c>
      <c r="F175" s="4" t="inlineStr">
        <is>
          <t>bIII</t>
        </is>
      </c>
      <c r="G175" s="4" t="inlineStr">
        <is>
          <t>C</t>
        </is>
      </c>
      <c r="H175" s="4" t="inlineStr">
        <is>
          <t>D</t>
        </is>
      </c>
      <c r="I175" s="4" t="inlineStr">
        <is>
          <t>5</t>
        </is>
      </c>
      <c r="J175" s="4" t="inlineStr">
        <is>
          <t>E4</t>
        </is>
      </c>
      <c r="K175" s="4" t="n">
        <v>7</v>
      </c>
      <c r="L175" s="4">
        <f>IF(OR(C175&lt;&gt;C174,K175="",K174=""),"",K175-K174)</f>
        <v/>
      </c>
      <c r="M175" s="4">
        <f>IF(L175="","",IF(L175=0,"repeat",IF(ABS(L175)&lt;=2,"step","leap")))</f>
        <v/>
      </c>
      <c r="N175" s="4">
        <f>IF(F175&lt;&gt;F174,"Y","")</f>
        <v/>
      </c>
      <c r="O175" s="5" t="inlineStr">
        <is>
          <t>Y</t>
        </is>
      </c>
      <c r="P175" s="5" t="inlineStr">
        <is>
          <t>u</t>
        </is>
      </c>
      <c r="Q175" s="5" t="inlineStr">
        <is>
          <t>closed</t>
        </is>
      </c>
      <c r="R175" s="6" t="n"/>
      <c r="S175" s="4" t="n"/>
      <c r="T175" s="4" t="n"/>
      <c r="U175" s="7" t="inlineStr">
        <is>
          <t>tied over into the II bar</t>
        </is>
      </c>
    </row>
    <row r="176">
      <c r="A176" s="4" t="inlineStr">
        <is>
          <t>outro</t>
        </is>
      </c>
      <c r="B176" s="4" t="inlineStr">
        <is>
          <t>O3</t>
        </is>
      </c>
      <c r="C176" s="4" t="inlineStr">
        <is>
          <t>lead</t>
        </is>
      </c>
      <c r="D176" s="4" t="n">
        <v>4</v>
      </c>
      <c r="E176" s="4" t="n">
        <v>3</v>
      </c>
      <c r="F176" s="4" t="inlineStr">
        <is>
          <t>II</t>
        </is>
      </c>
      <c r="G176" s="4" t="inlineStr">
        <is>
          <t>B</t>
        </is>
      </c>
      <c r="H176" s="4" t="inlineStr">
        <is>
          <t>D</t>
        </is>
      </c>
      <c r="I176" s="4" t="inlineStr">
        <is>
          <t>-</t>
        </is>
      </c>
      <c r="J176" s="4" t="inlineStr">
        <is>
          <t>X</t>
        </is>
      </c>
      <c r="K176" s="4" t="n"/>
      <c r="L176" s="4">
        <f>IF(OR(C176&lt;&gt;C175,K176="",K175=""),"",K176-K175)</f>
        <v/>
      </c>
      <c r="M176" s="4">
        <f>IF(L176="","",IF(L176=0,"repeat",IF(ABS(L176)&lt;=2,"step","leap")))</f>
        <v/>
      </c>
      <c r="N176" s="4">
        <f>IF(F176&lt;&gt;F175,"Y","")</f>
        <v/>
      </c>
      <c r="O176" s="5" t="inlineStr"/>
      <c r="P176" s="5" t="inlineStr">
        <is>
          <t>S</t>
        </is>
      </c>
      <c r="Q176" s="5" t="inlineStr">
        <is>
          <t>closed</t>
        </is>
      </c>
      <c r="R176" s="6" t="n"/>
      <c r="S176" s="4" t="n"/>
      <c r="T176" s="4" t="n"/>
      <c r="U176" s="7" t="inlineStr">
        <is>
          <t>ju-ba chant begins: x-noteheads = unpitched rhythmic shout, engraved at the 5/E position</t>
        </is>
      </c>
    </row>
    <row r="177">
      <c r="A177" s="4" t="inlineStr">
        <is>
          <t>outro</t>
        </is>
      </c>
      <c r="B177" s="4" t="inlineStr">
        <is>
          <t>O3</t>
        </is>
      </c>
      <c r="C177" s="4" t="inlineStr">
        <is>
          <t>lead</t>
        </is>
      </c>
      <c r="D177" s="4" t="n">
        <v>4</v>
      </c>
      <c r="E177" s="4" t="n">
        <v>3.25</v>
      </c>
      <c r="F177" s="4" t="inlineStr">
        <is>
          <t>II</t>
        </is>
      </c>
      <c r="G177" s="4" t="inlineStr">
        <is>
          <t>B</t>
        </is>
      </c>
      <c r="H177" s="4" t="inlineStr">
        <is>
          <t>D</t>
        </is>
      </c>
      <c r="I177" s="4" t="inlineStr">
        <is>
          <t>-</t>
        </is>
      </c>
      <c r="J177" s="4" t="inlineStr">
        <is>
          <t>X</t>
        </is>
      </c>
      <c r="K177" s="4" t="n"/>
      <c r="L177" s="4">
        <f>IF(OR(C177&lt;&gt;C176,K177="",K176=""),"",K177-K176)</f>
        <v/>
      </c>
      <c r="M177" s="4">
        <f>IF(L177="","",IF(L177=0,"repeat",IF(ABS(L177)&lt;=2,"step","leap")))</f>
        <v/>
      </c>
      <c r="N177" s="4">
        <f>IF(F177&lt;&gt;F176,"Y","")</f>
        <v/>
      </c>
      <c r="O177" s="5" t="inlineStr"/>
      <c r="P177" s="5" t="inlineStr">
        <is>
          <t>u</t>
        </is>
      </c>
      <c r="Q177" s="5" t="inlineStr">
        <is>
          <t>open</t>
        </is>
      </c>
      <c r="R177" s="6" t="n"/>
      <c r="S177" s="4" t="n"/>
      <c r="T177" s="4" t="n"/>
      <c r="U177" s="7" t="inlineStr"/>
    </row>
    <row r="178">
      <c r="A178" s="4" t="inlineStr">
        <is>
          <t>outro</t>
        </is>
      </c>
      <c r="B178" s="4" t="inlineStr">
        <is>
          <t>O3</t>
        </is>
      </c>
      <c r="C178" s="4" t="inlineStr">
        <is>
          <t>lead</t>
        </is>
      </c>
      <c r="D178" s="4" t="n">
        <v>4</v>
      </c>
      <c r="E178" s="4" t="n">
        <v>3.5</v>
      </c>
      <c r="F178" s="4" t="inlineStr">
        <is>
          <t>II</t>
        </is>
      </c>
      <c r="G178" s="4" t="inlineStr">
        <is>
          <t>B</t>
        </is>
      </c>
      <c r="H178" s="4" t="inlineStr">
        <is>
          <t>D</t>
        </is>
      </c>
      <c r="I178" s="4" t="inlineStr">
        <is>
          <t>-</t>
        </is>
      </c>
      <c r="J178" s="4" t="inlineStr">
        <is>
          <t>X</t>
        </is>
      </c>
      <c r="K178" s="4" t="n"/>
      <c r="L178" s="4">
        <f>IF(OR(C178&lt;&gt;C177,K178="",K177=""),"",K178-K177)</f>
        <v/>
      </c>
      <c r="M178" s="4">
        <f>IF(L178="","",IF(L178=0,"repeat",IF(ABS(L178)&lt;=2,"step","leap")))</f>
        <v/>
      </c>
      <c r="N178" s="4">
        <f>IF(F178&lt;&gt;F177,"Y","")</f>
        <v/>
      </c>
      <c r="O178" s="5" t="inlineStr"/>
      <c r="P178" s="5" t="inlineStr">
        <is>
          <t>S</t>
        </is>
      </c>
      <c r="Q178" s="5" t="inlineStr">
        <is>
          <t>closed</t>
        </is>
      </c>
      <c r="R178" s="6" t="n"/>
      <c r="S178" s="4" t="n"/>
      <c r="T178" s="4" t="n"/>
      <c r="U178" s="7" t="inlineStr"/>
    </row>
    <row r="179">
      <c r="A179" s="4" t="inlineStr">
        <is>
          <t>outro</t>
        </is>
      </c>
      <c r="B179" s="4" t="inlineStr">
        <is>
          <t>O3</t>
        </is>
      </c>
      <c r="C179" s="4" t="inlineStr">
        <is>
          <t>lead</t>
        </is>
      </c>
      <c r="D179" s="4" t="n">
        <v>4</v>
      </c>
      <c r="E179" s="4" t="n">
        <v>3.75</v>
      </c>
      <c r="F179" s="4" t="inlineStr">
        <is>
          <t>II</t>
        </is>
      </c>
      <c r="G179" s="4" t="inlineStr">
        <is>
          <t>B</t>
        </is>
      </c>
      <c r="H179" s="4" t="inlineStr">
        <is>
          <t>D</t>
        </is>
      </c>
      <c r="I179" s="4" t="inlineStr">
        <is>
          <t>-</t>
        </is>
      </c>
      <c r="J179" s="4" t="inlineStr">
        <is>
          <t>X</t>
        </is>
      </c>
      <c r="K179" s="4" t="n"/>
      <c r="L179" s="4">
        <f>IF(OR(C179&lt;&gt;C178,K179="",K178=""),"",K179-K178)</f>
        <v/>
      </c>
      <c r="M179" s="4">
        <f>IF(L179="","",IF(L179=0,"repeat",IF(ABS(L179)&lt;=2,"step","leap")))</f>
        <v/>
      </c>
      <c r="N179" s="4">
        <f>IF(F179&lt;&gt;F178,"Y","")</f>
        <v/>
      </c>
      <c r="O179" s="5" t="inlineStr"/>
      <c r="P179" s="5" t="inlineStr">
        <is>
          <t>u</t>
        </is>
      </c>
      <c r="Q179" s="5" t="inlineStr">
        <is>
          <t>open</t>
        </is>
      </c>
      <c r="R179" s="6" t="n"/>
      <c r="S179" s="4" t="n"/>
      <c r="T179" s="4" t="n"/>
      <c r="U179" s="7" t="inlineStr"/>
    </row>
    <row r="180">
      <c r="A180" s="4" t="inlineStr">
        <is>
          <t>outro</t>
        </is>
      </c>
      <c r="B180" s="4" t="inlineStr">
        <is>
          <t>O3</t>
        </is>
      </c>
      <c r="C180" s="4" t="inlineStr">
        <is>
          <t>lead</t>
        </is>
      </c>
      <c r="D180" s="4" t="n">
        <v>4</v>
      </c>
      <c r="E180" s="4" t="n">
        <v>4</v>
      </c>
      <c r="F180" s="4" t="inlineStr">
        <is>
          <t>II</t>
        </is>
      </c>
      <c r="G180" s="4" t="inlineStr">
        <is>
          <t>B</t>
        </is>
      </c>
      <c r="H180" s="4" t="inlineStr">
        <is>
          <t>D</t>
        </is>
      </c>
      <c r="I180" s="4" t="inlineStr">
        <is>
          <t>-</t>
        </is>
      </c>
      <c r="J180" s="4" t="inlineStr">
        <is>
          <t>X</t>
        </is>
      </c>
      <c r="K180" s="4" t="n"/>
      <c r="L180" s="4">
        <f>IF(OR(C180&lt;&gt;C179,K180="",K179=""),"",K180-K179)</f>
        <v/>
      </c>
      <c r="M180" s="4">
        <f>IF(L180="","",IF(L180=0,"repeat",IF(ABS(L180)&lt;=2,"step","leap")))</f>
        <v/>
      </c>
      <c r="N180" s="4">
        <f>IF(F180&lt;&gt;F179,"Y","")</f>
        <v/>
      </c>
      <c r="O180" s="5" t="inlineStr"/>
      <c r="P180" s="5" t="inlineStr">
        <is>
          <t>S</t>
        </is>
      </c>
      <c r="Q180" s="5" t="inlineStr">
        <is>
          <t>closed</t>
        </is>
      </c>
      <c r="R180" s="6" t="n"/>
      <c r="S180" s="4" t="n"/>
      <c r="T180" s="4" t="n"/>
      <c r="U180" s="7" t="inlineStr"/>
    </row>
    <row r="181">
      <c r="A181" s="4" t="inlineStr">
        <is>
          <t>outro</t>
        </is>
      </c>
      <c r="B181" s="4" t="inlineStr">
        <is>
          <t>O3</t>
        </is>
      </c>
      <c r="C181" s="4" t="inlineStr">
        <is>
          <t>lead</t>
        </is>
      </c>
      <c r="D181" s="4" t="n">
        <v>4</v>
      </c>
      <c r="E181" s="4" t="n">
        <v>4.25</v>
      </c>
      <c r="F181" s="4" t="inlineStr">
        <is>
          <t>II</t>
        </is>
      </c>
      <c r="G181" s="4" t="inlineStr">
        <is>
          <t>B</t>
        </is>
      </c>
      <c r="H181" s="4" t="inlineStr">
        <is>
          <t>D</t>
        </is>
      </c>
      <c r="I181" s="4" t="inlineStr">
        <is>
          <t>-</t>
        </is>
      </c>
      <c r="J181" s="4" t="inlineStr">
        <is>
          <t>X</t>
        </is>
      </c>
      <c r="K181" s="4" t="n"/>
      <c r="L181" s="4">
        <f>IF(OR(C181&lt;&gt;C180,K181="",K180=""),"",K181-K180)</f>
        <v/>
      </c>
      <c r="M181" s="4">
        <f>IF(L181="","",IF(L181=0,"repeat",IF(ABS(L181)&lt;=2,"step","leap")))</f>
        <v/>
      </c>
      <c r="N181" s="4">
        <f>IF(F181&lt;&gt;F180,"Y","")</f>
        <v/>
      </c>
      <c r="O181" s="5" t="inlineStr"/>
      <c r="P181" s="5" t="inlineStr">
        <is>
          <t>u</t>
        </is>
      </c>
      <c r="Q181" s="5" t="inlineStr">
        <is>
          <t>open</t>
        </is>
      </c>
      <c r="R181" s="6" t="n"/>
      <c r="S181" s="4" t="n"/>
      <c r="T181" s="4" t="n"/>
      <c r="U181" s="7" t="inlineStr"/>
    </row>
    <row r="182">
      <c r="A182" s="4" t="inlineStr">
        <is>
          <t>outro</t>
        </is>
      </c>
      <c r="B182" s="4" t="inlineStr">
        <is>
          <t>O4</t>
        </is>
      </c>
      <c r="C182" s="4" t="inlineStr">
        <is>
          <t>lead</t>
        </is>
      </c>
      <c r="D182" s="4" t="n">
        <v>5</v>
      </c>
      <c r="E182" s="4" t="n">
        <v>1.5</v>
      </c>
      <c r="F182" s="4" t="inlineStr">
        <is>
          <t>I</t>
        </is>
      </c>
      <c r="G182" s="4" t="inlineStr">
        <is>
          <t>A</t>
        </is>
      </c>
      <c r="H182" s="4" t="inlineStr">
        <is>
          <t>T</t>
        </is>
      </c>
      <c r="I182" s="4" t="inlineStr">
        <is>
          <t>-</t>
        </is>
      </c>
      <c r="J182" s="4" t="inlineStr">
        <is>
          <t>X</t>
        </is>
      </c>
      <c r="K182" s="4" t="n"/>
      <c r="L182" s="4">
        <f>IF(OR(C182&lt;&gt;C181,K182="",K181=""),"",K182-K181)</f>
        <v/>
      </c>
      <c r="M182" s="4">
        <f>IF(L182="","",IF(L182=0,"repeat",IF(ABS(L182)&lt;=2,"step","leap")))</f>
        <v/>
      </c>
      <c r="N182" s="4">
        <f>IF(F182&lt;&gt;F181,"Y","")</f>
        <v/>
      </c>
      <c r="O182" s="5" t="inlineStr"/>
      <c r="P182" s="5" t="inlineStr">
        <is>
          <t>S</t>
        </is>
      </c>
      <c r="Q182" s="5" t="inlineStr">
        <is>
          <t>closed</t>
        </is>
      </c>
      <c r="R182" s="6" t="n"/>
      <c r="S182" s="4" t="n"/>
      <c r="T182" s="4" t="n"/>
      <c r="U182" s="7" t="inlineStr">
        <is>
          <t>rehearsal F fade cycle (A-G-F-E-D-C-B repeating): lead marked '2x Tacet' - juba chant enters on the repeat</t>
        </is>
      </c>
    </row>
    <row r="183">
      <c r="A183" s="4" t="inlineStr">
        <is>
          <t>outro</t>
        </is>
      </c>
      <c r="B183" s="4" t="inlineStr">
        <is>
          <t>O4</t>
        </is>
      </c>
      <c r="C183" s="4" t="inlineStr">
        <is>
          <t>lead</t>
        </is>
      </c>
      <c r="D183" s="4" t="n">
        <v>5</v>
      </c>
      <c r="E183" s="4" t="n">
        <v>2.5</v>
      </c>
      <c r="F183" s="4" t="inlineStr">
        <is>
          <t>I</t>
        </is>
      </c>
      <c r="G183" s="4" t="inlineStr">
        <is>
          <t>A</t>
        </is>
      </c>
      <c r="H183" s="4" t="inlineStr">
        <is>
          <t>T</t>
        </is>
      </c>
      <c r="I183" s="4" t="inlineStr">
        <is>
          <t>-</t>
        </is>
      </c>
      <c r="J183" s="4" t="inlineStr">
        <is>
          <t>X</t>
        </is>
      </c>
      <c r="K183" s="4" t="n"/>
      <c r="L183" s="4">
        <f>IF(OR(C183&lt;&gt;C182,K183="",K182=""),"",K183-K182)</f>
        <v/>
      </c>
      <c r="M183" s="4">
        <f>IF(L183="","",IF(L183=0,"repeat",IF(ABS(L183)&lt;=2,"step","leap")))</f>
        <v/>
      </c>
      <c r="N183" s="4">
        <f>IF(F183&lt;&gt;F182,"Y","")</f>
        <v/>
      </c>
      <c r="O183" s="5" t="inlineStr"/>
      <c r="P183" s="5" t="inlineStr">
        <is>
          <t>u</t>
        </is>
      </c>
      <c r="Q183" s="5" t="inlineStr">
        <is>
          <t>open</t>
        </is>
      </c>
      <c r="R183" s="6" t="n"/>
      <c r="S183" s="4" t="n"/>
      <c r="T183" s="4" t="n"/>
      <c r="U183" s="7" t="inlineStr"/>
    </row>
    <row r="184">
      <c r="A184" s="4" t="inlineStr">
        <is>
          <t>outro</t>
        </is>
      </c>
      <c r="B184" s="4" t="inlineStr">
        <is>
          <t>O4</t>
        </is>
      </c>
      <c r="C184" s="4" t="inlineStr">
        <is>
          <t>lead</t>
        </is>
      </c>
      <c r="D184" s="4" t="n">
        <v>5</v>
      </c>
      <c r="E184" s="4" t="n">
        <v>3.5</v>
      </c>
      <c r="F184" s="4" t="inlineStr">
        <is>
          <t>I</t>
        </is>
      </c>
      <c r="G184" s="4" t="inlineStr">
        <is>
          <t>A</t>
        </is>
      </c>
      <c r="H184" s="4" t="inlineStr">
        <is>
          <t>T</t>
        </is>
      </c>
      <c r="I184" s="4" t="inlineStr">
        <is>
          <t>-</t>
        </is>
      </c>
      <c r="J184" s="4" t="inlineStr">
        <is>
          <t>X</t>
        </is>
      </c>
      <c r="K184" s="4" t="n"/>
      <c r="L184" s="4">
        <f>IF(OR(C184&lt;&gt;C183,K184="",K183=""),"",K184-K183)</f>
        <v/>
      </c>
      <c r="M184" s="4">
        <f>IF(L184="","",IF(L184=0,"repeat",IF(ABS(L184)&lt;=2,"step","leap")))</f>
        <v/>
      </c>
      <c r="N184" s="4">
        <f>IF(F184&lt;&gt;F183,"Y","")</f>
        <v/>
      </c>
      <c r="O184" s="5" t="inlineStr"/>
      <c r="P184" s="5" t="inlineStr">
        <is>
          <t>S</t>
        </is>
      </c>
      <c r="Q184" s="5" t="inlineStr">
        <is>
          <t>closed</t>
        </is>
      </c>
      <c r="R184" s="6" t="n"/>
      <c r="S184" s="4" t="n"/>
      <c r="T184" s="4" t="n"/>
      <c r="U184" s="7" t="inlineStr"/>
    </row>
    <row r="185">
      <c r="A185" s="4" t="inlineStr">
        <is>
          <t>outro</t>
        </is>
      </c>
      <c r="B185" s="4" t="inlineStr">
        <is>
          <t>O5</t>
        </is>
      </c>
      <c r="C185" s="4" t="inlineStr">
        <is>
          <t>lead</t>
        </is>
      </c>
      <c r="D185" s="4" t="n">
        <v>6</v>
      </c>
      <c r="E185" s="4" t="n">
        <v>1.5</v>
      </c>
      <c r="F185" s="4" t="inlineStr">
        <is>
          <t>bVII</t>
        </is>
      </c>
      <c r="G185" s="4" t="inlineStr">
        <is>
          <t>G</t>
        </is>
      </c>
      <c r="H185" s="4" t="inlineStr">
        <is>
          <t>T</t>
        </is>
      </c>
      <c r="I185" s="4" t="inlineStr">
        <is>
          <t>-</t>
        </is>
      </c>
      <c r="J185" s="4" t="inlineStr">
        <is>
          <t>X</t>
        </is>
      </c>
      <c r="K185" s="4" t="n"/>
      <c r="L185" s="4">
        <f>IF(OR(C185&lt;&gt;C184,K185="",K184=""),"",K185-K184)</f>
        <v/>
      </c>
      <c r="M185" s="4">
        <f>IF(L185="","",IF(L185=0,"repeat",IF(ABS(L185)&lt;=2,"step","leap")))</f>
        <v/>
      </c>
      <c r="N185" s="4">
        <f>IF(F185&lt;&gt;F184,"Y","")</f>
        <v/>
      </c>
      <c r="O185" s="5" t="inlineStr"/>
      <c r="P185" s="5" t="inlineStr">
        <is>
          <t>S</t>
        </is>
      </c>
      <c r="Q185" s="5" t="inlineStr">
        <is>
          <t>closed</t>
        </is>
      </c>
      <c r="R185" s="6" t="n"/>
      <c r="S185" s="4" t="n"/>
      <c r="T185" s="4" t="n"/>
      <c r="U185" s="7" t="inlineStr"/>
    </row>
    <row r="186">
      <c r="A186" s="4" t="inlineStr">
        <is>
          <t>outro</t>
        </is>
      </c>
      <c r="B186" s="4" t="inlineStr">
        <is>
          <t>O5</t>
        </is>
      </c>
      <c r="C186" s="4" t="inlineStr">
        <is>
          <t>lead</t>
        </is>
      </c>
      <c r="D186" s="4" t="n">
        <v>6</v>
      </c>
      <c r="E186" s="4" t="n">
        <v>2.5</v>
      </c>
      <c r="F186" s="4" t="inlineStr">
        <is>
          <t>bVII</t>
        </is>
      </c>
      <c r="G186" s="4" t="inlineStr">
        <is>
          <t>G</t>
        </is>
      </c>
      <c r="H186" s="4" t="inlineStr">
        <is>
          <t>T</t>
        </is>
      </c>
      <c r="I186" s="4" t="inlineStr">
        <is>
          <t>-</t>
        </is>
      </c>
      <c r="J186" s="4" t="inlineStr">
        <is>
          <t>X</t>
        </is>
      </c>
      <c r="K186" s="4" t="n"/>
      <c r="L186" s="4">
        <f>IF(OR(C186&lt;&gt;C185,K186="",K185=""),"",K186-K185)</f>
        <v/>
      </c>
      <c r="M186" s="4">
        <f>IF(L186="","",IF(L186=0,"repeat",IF(ABS(L186)&lt;=2,"step","leap")))</f>
        <v/>
      </c>
      <c r="N186" s="4">
        <f>IF(F186&lt;&gt;F185,"Y","")</f>
        <v/>
      </c>
      <c r="O186" s="5" t="inlineStr"/>
      <c r="P186" s="5" t="inlineStr">
        <is>
          <t>u</t>
        </is>
      </c>
      <c r="Q186" s="5" t="inlineStr">
        <is>
          <t>open</t>
        </is>
      </c>
      <c r="R186" s="6" t="n"/>
      <c r="S186" s="4" t="n"/>
      <c r="T186" s="4" t="n"/>
      <c r="U186" s="7" t="inlineStr"/>
    </row>
    <row r="187">
      <c r="A187" s="4" t="inlineStr">
        <is>
          <t>outro</t>
        </is>
      </c>
      <c r="B187" s="4" t="inlineStr">
        <is>
          <t>O6</t>
        </is>
      </c>
      <c r="C187" s="4" t="inlineStr">
        <is>
          <t>lead</t>
        </is>
      </c>
      <c r="D187" s="4" t="n">
        <v>7</v>
      </c>
      <c r="E187" s="4" t="n">
        <v>2</v>
      </c>
      <c r="F187" s="4" t="inlineStr">
        <is>
          <t>bVI</t>
        </is>
      </c>
      <c r="G187" s="4" t="inlineStr">
        <is>
          <t>F</t>
        </is>
      </c>
      <c r="H187" s="4" t="inlineStr">
        <is>
          <t>T</t>
        </is>
      </c>
      <c r="I187" s="4" t="inlineStr">
        <is>
          <t>-</t>
        </is>
      </c>
      <c r="J187" s="4" t="inlineStr">
        <is>
          <t>X</t>
        </is>
      </c>
      <c r="K187" s="4" t="n"/>
      <c r="L187" s="4">
        <f>IF(OR(C187&lt;&gt;C186,K187="",K186=""),"",K187-K186)</f>
        <v/>
      </c>
      <c r="M187" s="4">
        <f>IF(L187="","",IF(L187=0,"repeat",IF(ABS(L187)&lt;=2,"step","leap")))</f>
        <v/>
      </c>
      <c r="N187" s="4">
        <f>IF(F187&lt;&gt;F186,"Y","")</f>
        <v/>
      </c>
      <c r="O187" s="5" t="inlineStr"/>
      <c r="P187" s="5" t="inlineStr">
        <is>
          <t>S</t>
        </is>
      </c>
      <c r="Q187" s="5" t="inlineStr">
        <is>
          <t>closed</t>
        </is>
      </c>
      <c r="R187" s="6" t="n"/>
      <c r="S187" s="4" t="n"/>
      <c r="T187" s="4" t="n"/>
      <c r="U187" s="7" t="inlineStr"/>
    </row>
    <row r="188">
      <c r="A188" s="4" t="inlineStr">
        <is>
          <t>outro</t>
        </is>
      </c>
      <c r="B188" s="4" t="inlineStr">
        <is>
          <t>O6</t>
        </is>
      </c>
      <c r="C188" s="4" t="inlineStr">
        <is>
          <t>lead</t>
        </is>
      </c>
      <c r="D188" s="4" t="n">
        <v>7</v>
      </c>
      <c r="E188" s="4" t="n">
        <v>3</v>
      </c>
      <c r="F188" s="4" t="inlineStr">
        <is>
          <t>bVI</t>
        </is>
      </c>
      <c r="G188" s="4" t="inlineStr">
        <is>
          <t>F</t>
        </is>
      </c>
      <c r="H188" s="4" t="inlineStr">
        <is>
          <t>T</t>
        </is>
      </c>
      <c r="I188" s="4" t="inlineStr">
        <is>
          <t>-</t>
        </is>
      </c>
      <c r="J188" s="4" t="inlineStr">
        <is>
          <t>X</t>
        </is>
      </c>
      <c r="K188" s="4" t="n"/>
      <c r="L188" s="4">
        <f>IF(OR(C188&lt;&gt;C187,K188="",K187=""),"",K188-K187)</f>
        <v/>
      </c>
      <c r="M188" s="4">
        <f>IF(L188="","",IF(L188=0,"repeat",IF(ABS(L188)&lt;=2,"step","leap")))</f>
        <v/>
      </c>
      <c r="N188" s="4">
        <f>IF(F188&lt;&gt;F187,"Y","")</f>
        <v/>
      </c>
      <c r="O188" s="5" t="inlineStr"/>
      <c r="P188" s="5" t="inlineStr">
        <is>
          <t>u</t>
        </is>
      </c>
      <c r="Q188" s="5" t="inlineStr">
        <is>
          <t>open</t>
        </is>
      </c>
      <c r="R188" s="6" t="n"/>
      <c r="S188" s="4" t="n"/>
      <c r="T188" s="4" t="n"/>
      <c r="U188" s="7" t="inlineStr"/>
    </row>
    <row r="189">
      <c r="A189" s="4" t="inlineStr">
        <is>
          <t>outro</t>
        </is>
      </c>
      <c r="B189" s="4" t="inlineStr">
        <is>
          <t>O7</t>
        </is>
      </c>
      <c r="C189" s="4" t="inlineStr">
        <is>
          <t>lead</t>
        </is>
      </c>
      <c r="D189" s="4" t="n">
        <v>8</v>
      </c>
      <c r="E189" s="4" t="n">
        <v>1</v>
      </c>
      <c r="F189" s="4" t="inlineStr">
        <is>
          <t>V</t>
        </is>
      </c>
      <c r="G189" s="4" t="inlineStr">
        <is>
          <t>E7</t>
        </is>
      </c>
      <c r="H189" s="4" t="inlineStr">
        <is>
          <t>T</t>
        </is>
      </c>
      <c r="I189" s="4" t="inlineStr">
        <is>
          <t>-</t>
        </is>
      </c>
      <c r="J189" s="4" t="inlineStr">
        <is>
          <t>X</t>
        </is>
      </c>
      <c r="K189" s="4" t="n"/>
      <c r="L189" s="4">
        <f>IF(OR(C189&lt;&gt;C188,K189="",K188=""),"",K189-K188)</f>
        <v/>
      </c>
      <c r="M189" s="4">
        <f>IF(L189="","",IF(L189=0,"repeat",IF(ABS(L189)&lt;=2,"step","leap")))</f>
        <v/>
      </c>
      <c r="N189" s="4">
        <f>IF(F189&lt;&gt;F188,"Y","")</f>
        <v/>
      </c>
      <c r="O189" s="5" t="inlineStr"/>
      <c r="P189" s="5" t="inlineStr">
        <is>
          <t>S</t>
        </is>
      </c>
      <c r="Q189" s="5" t="inlineStr">
        <is>
          <t>open</t>
        </is>
      </c>
      <c r="R189" s="6" t="n"/>
      <c r="S189" s="4" t="n"/>
      <c r="T189" s="4" t="n"/>
      <c r="U189" s="7" t="inlineStr">
        <is>
          <t>'(Speaking)' squiggle over V7: spoken voice (the King Lear radio collage on the record); corpus keeps labelling these bars T - tension lives in the texture, not the function</t>
        </is>
      </c>
    </row>
    <row r="190">
      <c r="A190" s="4" t="inlineStr">
        <is>
          <t>outro</t>
        </is>
      </c>
      <c r="B190" s="4" t="inlineStr">
        <is>
          <t>O8</t>
        </is>
      </c>
      <c r="C190" s="4" t="inlineStr">
        <is>
          <t>chorus</t>
        </is>
      </c>
      <c r="D190" s="4" t="n">
        <v>9</v>
      </c>
      <c r="E190" s="4" t="n">
        <v>1</v>
      </c>
      <c r="F190" s="4" t="inlineStr">
        <is>
          <t>IV</t>
        </is>
      </c>
      <c r="G190" s="4" t="inlineStr">
        <is>
          <t>D</t>
        </is>
      </c>
      <c r="H190" s="4" t="inlineStr">
        <is>
          <t>T</t>
        </is>
      </c>
      <c r="I190" s="4" t="inlineStr">
        <is>
          <t>-</t>
        </is>
      </c>
      <c r="J190" s="4" t="inlineStr">
        <is>
          <t>X</t>
        </is>
      </c>
      <c r="K190" s="4" t="n"/>
      <c r="L190" s="4">
        <f>IF(OR(C190&lt;&gt;C189,K190="",K189=""),"",K190-K189)</f>
        <v/>
      </c>
      <c r="M190" s="4">
        <f>IF(L190="","",IF(L190=0,"repeat",IF(ABS(L190)&lt;=2,"step","leap")))</f>
        <v/>
      </c>
      <c r="N190" s="4">
        <f>IF(F190&lt;&gt;F189,"Y","")</f>
        <v/>
      </c>
      <c r="O190" s="5" t="inlineStr"/>
      <c r="P190" s="5" t="inlineStr">
        <is>
          <t>u</t>
        </is>
      </c>
      <c r="Q190" s="5" t="inlineStr">
        <is>
          <t>open</t>
        </is>
      </c>
      <c r="R190" s="6" t="n"/>
      <c r="S190" s="4" t="n"/>
      <c r="T190" s="4" t="n"/>
      <c r="U190" s="7" t="inlineStr">
        <is>
          <t>fade bars: D-C-B then 'Repeat &amp; Fade Out'; corpus hears IVmaj9 / bIIImaj#11 / bVII-flavored colors over these same letters</t>
        </is>
      </c>
    </row>
    <row r="191">
      <c r="A191" s="4" t="inlineStr">
        <is>
          <t>outro</t>
        </is>
      </c>
      <c r="B191" s="4" t="inlineStr">
        <is>
          <t>O8</t>
        </is>
      </c>
      <c r="C191" s="4" t="inlineStr">
        <is>
          <t>chorus</t>
        </is>
      </c>
      <c r="D191" s="4" t="n">
        <v>9</v>
      </c>
      <c r="E191" s="4" t="n">
        <v>1</v>
      </c>
      <c r="F191" s="4" t="inlineStr">
        <is>
          <t>IV</t>
        </is>
      </c>
      <c r="G191" s="4" t="inlineStr">
        <is>
          <t>D</t>
        </is>
      </c>
      <c r="H191" s="4" t="inlineStr">
        <is>
          <t>T</t>
        </is>
      </c>
      <c r="I191" s="4" t="inlineStr">
        <is>
          <t>-</t>
        </is>
      </c>
      <c r="J191" s="4" t="inlineStr">
        <is>
          <t>X</t>
        </is>
      </c>
      <c r="K191" s="4" t="n"/>
      <c r="L191" s="4">
        <f>IF(OR(C191&lt;&gt;C190,K191="",K190=""),"",K191-K190)</f>
        <v/>
      </c>
      <c r="M191" s="4">
        <f>IF(L191="","",IF(L191=0,"repeat",IF(ABS(L191)&lt;=2,"step","leap")))</f>
        <v/>
      </c>
      <c r="N191" s="4">
        <f>IF(F191&lt;&gt;F190,"Y","")</f>
        <v/>
      </c>
      <c r="O191" s="5" t="inlineStr"/>
      <c r="P191" s="5" t="inlineStr">
        <is>
          <t>u</t>
        </is>
      </c>
      <c r="Q191" s="5" t="inlineStr">
        <is>
          <t>open</t>
        </is>
      </c>
      <c r="R191" s="6" t="n"/>
      <c r="S191" s="4" t="n"/>
      <c r="T191" s="4" t="n"/>
      <c r="U191" s="7" t="inlineStr">
        <is>
          <t>backing staff marked '(Rhythmical Speaking)': the chanted crowd loop rides the whole fade</t>
        </is>
      </c>
    </row>
  </sheetData>
  <autoFilter ref="A1:U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2026-07-12T18:38:52Z</dcterms:created>
  <dcterms:modified xsi:type="dcterms:W3CDTF">2026-07-12T18:38:52Z</dcterms:modified>
</cp:coreProperties>
</file>