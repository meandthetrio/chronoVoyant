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Notes" sheetId="2" state="visible" r:id="rId2"/>
  </sheets>
  <definedNames>
    <definedName name="_xlnm._FilterDatabase" localSheetId="1" hidden="1">'Notes'!$A$1:$U$32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Day Tripper - melody/chord/word sync</t>
        </is>
      </c>
    </row>
    <row r="2">
      <c r="A2" s="2" t="inlineStr">
        <is>
          <t>Key: E major (4 sharps). One row per sung LEAD note; verses/refrains/bridge repeat (encoded once).</t>
        </is>
      </c>
    </row>
    <row r="3">
      <c r="A3" s="2" t="inlineStr"/>
    </row>
    <row r="4">
      <c r="A4" s="2" t="inlineStr">
        <is>
          <t>SOURCE NOTE: Day Tripper is a SINGLE - NOT in the Isophonics/BeatlesFC datasets. Chords are</t>
        </is>
      </c>
    </row>
    <row r="5">
      <c r="A5" s="2" t="inlineStr">
        <is>
          <t>from the Complete Scores; T/PD/D functions are manual estimates in Nobile functional-circuit</t>
        </is>
      </c>
    </row>
    <row r="6">
      <c r="A6" s="2" t="inlineStr">
        <is>
          <t>style (I7=T blues-tonic, IV7=PD, II7=PD bright secondary-dominant color, III7/VI7=applied</t>
        </is>
      </c>
    </row>
    <row r="7">
      <c r="A7" s="2" t="inlineStr">
        <is>
          <t>dominants=D, V7=D). Melody hand-read from the score; the exact blue-note spellings (b7 vs 7,</t>
        </is>
      </c>
    </row>
    <row r="8">
      <c r="A8" s="2" t="inlineStr">
        <is>
          <t>b3 vs 3) and rows flagged 'APPROX' need an ear-check - this song lives on those blue notes.</t>
        </is>
      </c>
    </row>
    <row r="9">
      <c r="A9" s="2" t="inlineStr">
        <is>
          <t>Vocal sounds an octave below written; semis = semitones above E3.</t>
        </is>
      </c>
    </row>
    <row r="10">
      <c r="A10" s="2" t="inlineStr"/>
    </row>
    <row r="11">
      <c r="A11" s="2" t="inlineStr">
        <is>
          <t>YELLOW column 'word' is yours to fill while listening - one word/syllable per row.</t>
        </is>
      </c>
    </row>
    <row r="12">
      <c r="A12" s="2" t="inlineStr"/>
    </row>
    <row r="13">
      <c r="A13" s="2" t="inlineStr">
        <is>
          <t>TWO-VOICE HOOK: the refrain ('Day Tripper / One way ticket') is a Lennon-McCartney duet in</t>
        </is>
      </c>
    </row>
    <row r="14">
      <c r="A14" s="2" t="inlineStr">
        <is>
          <t>dyads. The lead (top voice) degree is in 'degree'; the harmony voice below is in harm_degrees</t>
        </is>
      </c>
    </row>
    <row r="15">
      <c r="A15" s="2" t="inlineStr">
        <is>
          <t>with its interval in harm_intervals (mostly a 3rd below). The 'Day' dyad = 6 over #4 = the 5th</t>
        </is>
      </c>
    </row>
    <row r="16">
      <c r="A16" s="2" t="inlineStr">
        <is>
          <t>and 3rd of F#7 (the A# is the leading tone into B) - the brightest moment in the song.</t>
        </is>
      </c>
    </row>
    <row r="17">
      <c r="A17" s="2" t="inlineStr"/>
    </row>
    <row r="18">
      <c r="A18" s="2" t="inlineStr">
        <is>
          <t>Column guide: as in AcrossTheUniverse.xlsx / IWantToHoldYourHand.xlsx (21 cols; interval,</t>
        </is>
      </c>
    </row>
    <row r="19">
      <c r="A19" s="2" t="inlineStr">
        <is>
          <t>motion, chord_change are live formulas in L/M/N).</t>
        </is>
      </c>
    </row>
    <row r="20">
      <c r="A20" s="2" t="inlineStr"/>
    </row>
    <row r="21">
      <c r="A21" s="2" t="inlineStr">
        <is>
          <t>Filter ideas: chord_change=Y -&gt; melody interval at each harmonic move; harm_degrees&lt;&gt;'' -&gt;</t>
        </is>
      </c>
    </row>
    <row r="22">
      <c r="A22" s="2" t="inlineStr">
        <is>
          <t>the duet hook; phrase=b-* -&gt; the ascending build that is the song's climax.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5" customWidth="1" min="4" max="4"/>
    <col width="6" customWidth="1" min="5" max="5"/>
    <col width="8" customWidth="1" min="6" max="6"/>
    <col width="11" customWidth="1" min="7" max="7"/>
    <col width="9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13" customWidth="1" min="14" max="14"/>
    <col width="11" customWidth="1" min="15" max="15"/>
    <col width="7" customWidth="1" min="16" max="16"/>
    <col width="8" customWidth="1" min="17" max="17"/>
    <col width="14" customWidth="1" min="18" max="18"/>
    <col width="12" customWidth="1" min="19" max="19"/>
    <col width="13" customWidth="1" min="20" max="20"/>
    <col width="62" customWidth="1" min="21" max="21"/>
  </cols>
  <sheetData>
    <row r="1">
      <c r="A1" s="3" t="inlineStr">
        <is>
          <t>section</t>
        </is>
      </c>
      <c r="B1" s="3" t="inlineStr">
        <is>
          <t>phrase</t>
        </is>
      </c>
      <c r="C1" s="3" t="inlineStr">
        <is>
          <t>voice</t>
        </is>
      </c>
      <c r="D1" s="3" t="inlineStr">
        <is>
          <t>bar</t>
        </is>
      </c>
      <c r="E1" s="3" t="inlineStr">
        <is>
          <t>beat</t>
        </is>
      </c>
      <c r="F1" s="3" t="inlineStr">
        <is>
          <t>chord</t>
        </is>
      </c>
      <c r="G1" s="3" t="inlineStr">
        <is>
          <t>chord_letter</t>
        </is>
      </c>
      <c r="H1" s="3" t="inlineStr">
        <is>
          <t>function</t>
        </is>
      </c>
      <c r="I1" s="3" t="inlineStr">
        <is>
          <t>degree</t>
        </is>
      </c>
      <c r="J1" s="3" t="inlineStr">
        <is>
          <t>note</t>
        </is>
      </c>
      <c r="K1" s="3" t="inlineStr">
        <is>
          <t>semis</t>
        </is>
      </c>
      <c r="L1" s="3" t="inlineStr">
        <is>
          <t>interval</t>
        </is>
      </c>
      <c r="M1" s="3" t="inlineStr">
        <is>
          <t>motion</t>
        </is>
      </c>
      <c r="N1" s="3" t="inlineStr">
        <is>
          <t>chord_change</t>
        </is>
      </c>
      <c r="O1" s="3" t="inlineStr">
        <is>
          <t>chord_tone</t>
        </is>
      </c>
      <c r="P1" s="3" t="inlineStr">
        <is>
          <t>stress</t>
        </is>
      </c>
      <c r="Q1" s="3" t="inlineStr">
        <is>
          <t>vowel</t>
        </is>
      </c>
      <c r="R1" s="3" t="inlineStr">
        <is>
          <t>word</t>
        </is>
      </c>
      <c r="S1" s="3" t="inlineStr">
        <is>
          <t>harm_degrees</t>
        </is>
      </c>
      <c r="T1" s="3" t="inlineStr">
        <is>
          <t>harm_intervals</t>
        </is>
      </c>
      <c r="U1" s="3" t="inlineStr">
        <is>
          <t>comment</t>
        </is>
      </c>
    </row>
    <row r="2">
      <c r="A2" s="4" t="inlineStr">
        <is>
          <t>verse</t>
        </is>
      </c>
      <c r="B2" s="4" t="inlineStr">
        <is>
          <t>v-ph1</t>
        </is>
      </c>
      <c r="C2" s="4" t="inlineStr">
        <is>
          <t>lead</t>
        </is>
      </c>
      <c r="D2" s="4" t="n">
        <v>1</v>
      </c>
      <c r="E2" s="4" t="n">
        <v>1</v>
      </c>
      <c r="F2" s="4" t="inlineStr">
        <is>
          <t>I7</t>
        </is>
      </c>
      <c r="G2" s="4" t="inlineStr">
        <is>
          <t>E7</t>
        </is>
      </c>
      <c r="H2" s="4" t="inlineStr">
        <is>
          <t>T</t>
        </is>
      </c>
      <c r="I2" s="4" t="inlineStr">
        <is>
          <t>b7</t>
        </is>
      </c>
      <c r="J2" s="4" t="inlineStr">
        <is>
          <t>D4</t>
        </is>
      </c>
      <c r="K2" s="4" t="n">
        <v>10</v>
      </c>
      <c r="L2" s="4" t="inlineStr"/>
      <c r="M2" s="4">
        <f>IF(L2="","",IF(L2=0,"repeat",IF(ABS(L2)&lt;=2,"step","leap")))</f>
        <v/>
      </c>
      <c r="N2" s="4">
        <f>"Y"</f>
        <v/>
      </c>
      <c r="O2" s="5" t="inlineStr">
        <is>
          <t>N</t>
        </is>
      </c>
      <c r="P2" s="5" t="inlineStr">
        <is>
          <t>S</t>
        </is>
      </c>
      <c r="Q2" s="5" t="inlineStr">
        <is>
          <t>open</t>
        </is>
      </c>
      <c r="R2" s="6" t="n"/>
      <c r="S2" s="4" t="n"/>
      <c r="T2" s="4" t="n"/>
      <c r="U2" s="7" t="inlineStr">
        <is>
          <t>descending riff line; D natural (blue b7) assumed - APPROX vs D#7</t>
        </is>
      </c>
    </row>
    <row r="3">
      <c r="A3" s="4" t="inlineStr">
        <is>
          <t>verse</t>
        </is>
      </c>
      <c r="B3" s="4" t="inlineStr">
        <is>
          <t>v-ph1</t>
        </is>
      </c>
      <c r="C3" s="4" t="inlineStr">
        <is>
          <t>lead</t>
        </is>
      </c>
      <c r="D3" s="4" t="n">
        <v>1</v>
      </c>
      <c r="E3" s="4" t="n">
        <v>1.5</v>
      </c>
      <c r="F3" s="4" t="inlineStr">
        <is>
          <t>I7</t>
        </is>
      </c>
      <c r="G3" s="4" t="inlineStr">
        <is>
          <t>E7</t>
        </is>
      </c>
      <c r="H3" s="4" t="inlineStr">
        <is>
          <t>T</t>
        </is>
      </c>
      <c r="I3" s="4" t="inlineStr">
        <is>
          <t>6</t>
        </is>
      </c>
      <c r="J3" s="4" t="inlineStr">
        <is>
          <t>C#4</t>
        </is>
      </c>
      <c r="K3" s="4" t="n">
        <v>9</v>
      </c>
      <c r="L3" s="4">
        <f>IF(OR(C3&lt;&gt;C2,K3="",K2=""),"",K3-K2)</f>
        <v/>
      </c>
      <c r="M3" s="4">
        <f>IF(L3="","",IF(L3=0,"repeat",IF(ABS(L3)&lt;=2,"step","leap")))</f>
        <v/>
      </c>
      <c r="N3" s="4">
        <f>IF(F3&lt;&gt;F2,"Y","")</f>
        <v/>
      </c>
      <c r="O3" s="5" t="inlineStr">
        <is>
          <t>Y</t>
        </is>
      </c>
      <c r="P3" s="5" t="inlineStr">
        <is>
          <t>u</t>
        </is>
      </c>
      <c r="Q3" s="5" t="inlineStr">
        <is>
          <t>closed</t>
        </is>
      </c>
      <c r="R3" s="6" t="n"/>
      <c r="S3" s="4" t="n"/>
      <c r="T3" s="4" t="n"/>
      <c r="U3" s="7" t="inlineStr"/>
    </row>
    <row r="4">
      <c r="A4" s="4" t="inlineStr">
        <is>
          <t>verse</t>
        </is>
      </c>
      <c r="B4" s="4" t="inlineStr">
        <is>
          <t>v-ph1</t>
        </is>
      </c>
      <c r="C4" s="4" t="inlineStr">
        <is>
          <t>lead</t>
        </is>
      </c>
      <c r="D4" s="4" t="n">
        <v>1</v>
      </c>
      <c r="E4" s="4" t="n">
        <v>2</v>
      </c>
      <c r="F4" s="4" t="inlineStr">
        <is>
          <t>I7</t>
        </is>
      </c>
      <c r="G4" s="4" t="inlineStr">
        <is>
          <t>E7</t>
        </is>
      </c>
      <c r="H4" s="4" t="inlineStr">
        <is>
          <t>T</t>
        </is>
      </c>
      <c r="I4" s="4" t="inlineStr">
        <is>
          <t>5</t>
        </is>
      </c>
      <c r="J4" s="4" t="inlineStr">
        <is>
          <t>B3</t>
        </is>
      </c>
      <c r="K4" s="4" t="n">
        <v>7</v>
      </c>
      <c r="L4" s="4">
        <f>IF(OR(C4&lt;&gt;C3,K4="",K3=""),"",K4-K3)</f>
        <v/>
      </c>
      <c r="M4" s="4">
        <f>IF(L4="","",IF(L4=0,"repeat",IF(ABS(L4)&lt;=2,"step","leap")))</f>
        <v/>
      </c>
      <c r="N4" s="4">
        <f>IF(F4&lt;&gt;F3,"Y","")</f>
        <v/>
      </c>
      <c r="O4" s="5" t="inlineStr">
        <is>
          <t>N</t>
        </is>
      </c>
      <c r="P4" s="5" t="inlineStr">
        <is>
          <t>S</t>
        </is>
      </c>
      <c r="Q4" s="5" t="inlineStr">
        <is>
          <t>open</t>
        </is>
      </c>
      <c r="R4" s="6" t="n"/>
      <c r="S4" s="4" t="n"/>
      <c r="T4" s="4" t="n"/>
      <c r="U4" s="7" t="inlineStr"/>
    </row>
    <row r="5">
      <c r="A5" s="4" t="inlineStr">
        <is>
          <t>verse</t>
        </is>
      </c>
      <c r="B5" s="4" t="inlineStr">
        <is>
          <t>v-ph1</t>
        </is>
      </c>
      <c r="C5" s="4" t="inlineStr">
        <is>
          <t>lead</t>
        </is>
      </c>
      <c r="D5" s="4" t="n">
        <v>1</v>
      </c>
      <c r="E5" s="4" t="n">
        <v>2.5</v>
      </c>
      <c r="F5" s="4" t="inlineStr">
        <is>
          <t>I7</t>
        </is>
      </c>
      <c r="G5" s="4" t="inlineStr">
        <is>
          <t>E7</t>
        </is>
      </c>
      <c r="H5" s="4" t="inlineStr">
        <is>
          <t>T</t>
        </is>
      </c>
      <c r="I5" s="4" t="inlineStr">
        <is>
          <t>5</t>
        </is>
      </c>
      <c r="J5" s="4" t="inlineStr">
        <is>
          <t>B3</t>
        </is>
      </c>
      <c r="K5" s="4" t="n">
        <v>7</v>
      </c>
      <c r="L5" s="4">
        <f>IF(OR(C5&lt;&gt;C4,K5="",K4=""),"",K5-K4)</f>
        <v/>
      </c>
      <c r="M5" s="4">
        <f>IF(L5="","",IF(L5=0,"repeat",IF(ABS(L5)&lt;=2,"step","leap")))</f>
        <v/>
      </c>
      <c r="N5" s="4">
        <f>IF(F5&lt;&gt;F4,"Y","")</f>
        <v/>
      </c>
      <c r="O5" s="5" t="inlineStr">
        <is>
          <t>N</t>
        </is>
      </c>
      <c r="P5" s="5" t="inlineStr">
        <is>
          <t>u</t>
        </is>
      </c>
      <c r="Q5" s="5" t="inlineStr">
        <is>
          <t>open</t>
        </is>
      </c>
      <c r="R5" s="6" t="n"/>
      <c r="S5" s="4" t="n"/>
      <c r="T5" s="4" t="n"/>
      <c r="U5" s="7" t="inlineStr"/>
    </row>
    <row r="6">
      <c r="A6" s="4" t="inlineStr">
        <is>
          <t>verse</t>
        </is>
      </c>
      <c r="B6" s="4" t="inlineStr">
        <is>
          <t>v-ph1</t>
        </is>
      </c>
      <c r="C6" s="4" t="inlineStr">
        <is>
          <t>lead</t>
        </is>
      </c>
      <c r="D6" s="4" t="n">
        <v>1</v>
      </c>
      <c r="E6" s="4" t="n">
        <v>3</v>
      </c>
      <c r="F6" s="4" t="inlineStr">
        <is>
          <t>I7</t>
        </is>
      </c>
      <c r="G6" s="4" t="inlineStr">
        <is>
          <t>E7</t>
        </is>
      </c>
      <c r="H6" s="4" t="inlineStr">
        <is>
          <t>T</t>
        </is>
      </c>
      <c r="I6" s="4" t="inlineStr">
        <is>
          <t>4</t>
        </is>
      </c>
      <c r="J6" s="4" t="inlineStr">
        <is>
          <t>A3</t>
        </is>
      </c>
      <c r="K6" s="4" t="n">
        <v>5</v>
      </c>
      <c r="L6" s="4">
        <f>IF(OR(C6&lt;&gt;C5,K6="",K5=""),"",K6-K5)</f>
        <v/>
      </c>
      <c r="M6" s="4">
        <f>IF(L6="","",IF(L6=0,"repeat",IF(ABS(L6)&lt;=2,"step","leap")))</f>
        <v/>
      </c>
      <c r="N6" s="4">
        <f>IF(F6&lt;&gt;F5,"Y","")</f>
        <v/>
      </c>
      <c r="O6" s="5" t="inlineStr">
        <is>
          <t>N</t>
        </is>
      </c>
      <c r="P6" s="5" t="inlineStr">
        <is>
          <t>S</t>
        </is>
      </c>
      <c r="Q6" s="5" t="inlineStr">
        <is>
          <t>open</t>
        </is>
      </c>
      <c r="R6" s="6" t="n"/>
      <c r="S6" s="4" t="n"/>
      <c r="T6" s="4" t="n"/>
      <c r="U6" s="7" t="inlineStr">
        <is>
          <t>dotted, slur - APPROX</t>
        </is>
      </c>
    </row>
    <row r="7">
      <c r="A7" s="4" t="inlineStr">
        <is>
          <t>verse</t>
        </is>
      </c>
      <c r="B7" s="4" t="inlineStr">
        <is>
          <t>v-ph2</t>
        </is>
      </c>
      <c r="C7" s="4" t="inlineStr">
        <is>
          <t>lead</t>
        </is>
      </c>
      <c r="D7" s="4" t="n">
        <v>3</v>
      </c>
      <c r="E7" s="4" t="n">
        <v>4.5</v>
      </c>
      <c r="F7" s="4" t="inlineStr">
        <is>
          <t>IV7</t>
        </is>
      </c>
      <c r="G7" s="4" t="inlineStr">
        <is>
          <t>A7</t>
        </is>
      </c>
      <c r="H7" s="4" t="inlineStr">
        <is>
          <t>PD</t>
        </is>
      </c>
      <c r="I7" s="4" t="inlineStr">
        <is>
          <t>5</t>
        </is>
      </c>
      <c r="J7" s="4" t="inlineStr">
        <is>
          <t>B3</t>
        </is>
      </c>
      <c r="K7" s="4" t="n">
        <v>7</v>
      </c>
      <c r="L7" s="4">
        <f>IF(OR(C7&lt;&gt;C6,K7="",K6=""),"",K7-K6)</f>
        <v/>
      </c>
      <c r="M7" s="4">
        <f>IF(L7="","",IF(L7=0,"repeat",IF(ABS(L7)&lt;=2,"step","leap")))</f>
        <v/>
      </c>
      <c r="N7" s="4">
        <f>IF(F7&lt;&gt;F6,"Y","")</f>
        <v/>
      </c>
      <c r="O7" s="5" t="inlineStr">
        <is>
          <t>N</t>
        </is>
      </c>
      <c r="P7" s="5" t="inlineStr">
        <is>
          <t>u</t>
        </is>
      </c>
      <c r="Q7" s="5" t="inlineStr">
        <is>
          <t>closed</t>
        </is>
      </c>
      <c r="R7" s="6" t="n"/>
      <c r="S7" s="4" t="n"/>
      <c r="T7" s="4" t="n"/>
      <c r="U7" s="7" t="inlineStr">
        <is>
          <t>pickup 'for'</t>
        </is>
      </c>
    </row>
    <row r="8">
      <c r="A8" s="4" t="inlineStr">
        <is>
          <t>verse</t>
        </is>
      </c>
      <c r="B8" s="4" t="inlineStr">
        <is>
          <t>v-ph2</t>
        </is>
      </c>
      <c r="C8" s="4" t="inlineStr">
        <is>
          <t>lead</t>
        </is>
      </c>
      <c r="D8" s="4" t="n">
        <v>4</v>
      </c>
      <c r="E8" s="4" t="n">
        <v>1</v>
      </c>
      <c r="F8" s="4" t="inlineStr">
        <is>
          <t>IV7</t>
        </is>
      </c>
      <c r="G8" s="4" t="inlineStr">
        <is>
          <t>A7</t>
        </is>
      </c>
      <c r="H8" s="4" t="inlineStr">
        <is>
          <t>PD</t>
        </is>
      </c>
      <c r="I8" s="4" t="inlineStr">
        <is>
          <t>5</t>
        </is>
      </c>
      <c r="J8" s="4" t="inlineStr">
        <is>
          <t>B3</t>
        </is>
      </c>
      <c r="K8" s="4" t="n">
        <v>7</v>
      </c>
      <c r="L8" s="4">
        <f>IF(OR(C8&lt;&gt;C7,K8="",K7=""),"",K8-K7)</f>
        <v/>
      </c>
      <c r="M8" s="4">
        <f>IF(L8="","",IF(L8=0,"repeat",IF(ABS(L8)&lt;=2,"step","leap")))</f>
        <v/>
      </c>
      <c r="N8" s="4">
        <f>IF(F8&lt;&gt;F7,"Y","")</f>
        <v/>
      </c>
      <c r="O8" s="5" t="inlineStr">
        <is>
          <t>N</t>
        </is>
      </c>
      <c r="P8" s="5" t="inlineStr">
        <is>
          <t>S</t>
        </is>
      </c>
      <c r="Q8" s="5" t="inlineStr">
        <is>
          <t>open</t>
        </is>
      </c>
      <c r="R8" s="6" t="n"/>
      <c r="S8" s="4" t="n"/>
      <c r="T8" s="4" t="n"/>
      <c r="U8" s="7" t="inlineStr">
        <is>
          <t>chord change to IV7; rising answer phrase</t>
        </is>
      </c>
    </row>
    <row r="9">
      <c r="A9" s="4" t="inlineStr">
        <is>
          <t>verse</t>
        </is>
      </c>
      <c r="B9" s="4" t="inlineStr">
        <is>
          <t>v-ph2</t>
        </is>
      </c>
      <c r="C9" s="4" t="inlineStr">
        <is>
          <t>lead</t>
        </is>
      </c>
      <c r="D9" s="4" t="n">
        <v>4</v>
      </c>
      <c r="E9" s="4" t="n">
        <v>1.5</v>
      </c>
      <c r="F9" s="4" t="inlineStr">
        <is>
          <t>IV7</t>
        </is>
      </c>
      <c r="G9" s="4" t="inlineStr">
        <is>
          <t>A7</t>
        </is>
      </c>
      <c r="H9" s="4" t="inlineStr">
        <is>
          <t>PD</t>
        </is>
      </c>
      <c r="I9" s="4" t="inlineStr">
        <is>
          <t>b3</t>
        </is>
      </c>
      <c r="J9" s="4" t="inlineStr">
        <is>
          <t>G3</t>
        </is>
      </c>
      <c r="K9" s="4" t="n">
        <v>3</v>
      </c>
      <c r="L9" s="4">
        <f>IF(OR(C9&lt;&gt;C8,K9="",K8=""),"",K9-K8)</f>
        <v/>
      </c>
      <c r="M9" s="4">
        <f>IF(L9="","",IF(L9=0,"repeat",IF(ABS(L9)&lt;=2,"step","leap")))</f>
        <v/>
      </c>
      <c r="N9" s="4">
        <f>IF(F9&lt;&gt;F8,"Y","")</f>
        <v/>
      </c>
      <c r="O9" s="5" t="inlineStr">
        <is>
          <t>N</t>
        </is>
      </c>
      <c r="P9" s="5" t="inlineStr">
        <is>
          <t>u</t>
        </is>
      </c>
      <c r="Q9" s="5" t="inlineStr">
        <is>
          <t>open</t>
        </is>
      </c>
      <c r="R9" s="6" t="n"/>
      <c r="S9" s="4" t="n"/>
      <c r="T9" s="4" t="n"/>
      <c r="U9" s="7" t="inlineStr">
        <is>
          <t>blue b3 (G natural, notated with a natural sign in the score)</t>
        </is>
      </c>
    </row>
    <row r="10">
      <c r="A10" s="4" t="inlineStr">
        <is>
          <t>verse</t>
        </is>
      </c>
      <c r="B10" s="4" t="inlineStr">
        <is>
          <t>v-ph2</t>
        </is>
      </c>
      <c r="C10" s="4" t="inlineStr">
        <is>
          <t>lead</t>
        </is>
      </c>
      <c r="D10" s="4" t="n">
        <v>4</v>
      </c>
      <c r="E10" s="4" t="n">
        <v>2</v>
      </c>
      <c r="F10" s="4" t="inlineStr">
        <is>
          <t>IV7</t>
        </is>
      </c>
      <c r="G10" s="4" t="inlineStr">
        <is>
          <t>A7</t>
        </is>
      </c>
      <c r="H10" s="4" t="inlineStr">
        <is>
          <t>PD</t>
        </is>
      </c>
      <c r="I10" s="4" t="inlineStr">
        <is>
          <t>3</t>
        </is>
      </c>
      <c r="J10" s="4" t="inlineStr">
        <is>
          <t>G#3</t>
        </is>
      </c>
      <c r="K10" s="4" t="n">
        <v>4</v>
      </c>
      <c r="L10" s="4">
        <f>IF(OR(C10&lt;&gt;C9,K10="",K9=""),"",K10-K9)</f>
        <v/>
      </c>
      <c r="M10" s="4">
        <f>IF(L10="","",IF(L10=0,"repeat",IF(ABS(L10)&lt;=2,"step","leap")))</f>
        <v/>
      </c>
      <c r="N10" s="4">
        <f>IF(F10&lt;&gt;F9,"Y","")</f>
        <v/>
      </c>
      <c r="O10" s="5" t="inlineStr">
        <is>
          <t>Y</t>
        </is>
      </c>
      <c r="P10" s="5" t="inlineStr">
        <is>
          <t>u</t>
        </is>
      </c>
      <c r="Q10" s="5" t="inlineStr">
        <is>
          <t>open</t>
        </is>
      </c>
      <c r="R10" s="6" t="n"/>
      <c r="S10" s="4" t="n"/>
      <c r="T10" s="4" t="n"/>
      <c r="U10" s="7" t="inlineStr">
        <is>
          <t>APPROX - climb</t>
        </is>
      </c>
    </row>
    <row r="11">
      <c r="A11" s="4" t="inlineStr">
        <is>
          <t>verse</t>
        </is>
      </c>
      <c r="B11" s="4" t="inlineStr">
        <is>
          <t>v-ph2</t>
        </is>
      </c>
      <c r="C11" s="4" t="inlineStr">
        <is>
          <t>lead</t>
        </is>
      </c>
      <c r="D11" s="4" t="n">
        <v>4</v>
      </c>
      <c r="E11" s="4" t="n">
        <v>2.5</v>
      </c>
      <c r="F11" s="4" t="inlineStr">
        <is>
          <t>IV7</t>
        </is>
      </c>
      <c r="G11" s="4" t="inlineStr">
        <is>
          <t>A7</t>
        </is>
      </c>
      <c r="H11" s="4" t="inlineStr">
        <is>
          <t>PD</t>
        </is>
      </c>
      <c r="I11" s="4" t="inlineStr">
        <is>
          <t>4</t>
        </is>
      </c>
      <c r="J11" s="4" t="inlineStr">
        <is>
          <t>A3</t>
        </is>
      </c>
      <c r="K11" s="4" t="n">
        <v>5</v>
      </c>
      <c r="L11" s="4">
        <f>IF(OR(C11&lt;&gt;C10,K11="",K10=""),"",K11-K10)</f>
        <v/>
      </c>
      <c r="M11" s="4">
        <f>IF(L11="","",IF(L11=0,"repeat",IF(ABS(L11)&lt;=2,"step","leap")))</f>
        <v/>
      </c>
      <c r="N11" s="4">
        <f>IF(F11&lt;&gt;F10,"Y","")</f>
        <v/>
      </c>
      <c r="O11" s="5" t="inlineStr">
        <is>
          <t>Y</t>
        </is>
      </c>
      <c r="P11" s="5" t="inlineStr">
        <is>
          <t>S</t>
        </is>
      </c>
      <c r="Q11" s="5" t="inlineStr">
        <is>
          <t>open</t>
        </is>
      </c>
      <c r="R11" s="6" t="n"/>
      <c r="S11" s="4" t="n"/>
      <c r="T11" s="4" t="n"/>
      <c r="U11" s="7" t="inlineStr">
        <is>
          <t>peak, tied</t>
        </is>
      </c>
    </row>
    <row r="12">
      <c r="A12" s="4" t="inlineStr">
        <is>
          <t>verse</t>
        </is>
      </c>
      <c r="B12" s="4" t="inlineStr">
        <is>
          <t>v-ph2</t>
        </is>
      </c>
      <c r="C12" s="4" t="inlineStr">
        <is>
          <t>lead</t>
        </is>
      </c>
      <c r="D12" s="4" t="n">
        <v>5</v>
      </c>
      <c r="E12" s="4" t="n">
        <v>1</v>
      </c>
      <c r="F12" s="4" t="inlineStr">
        <is>
          <t>IV7</t>
        </is>
      </c>
      <c r="G12" s="4" t="inlineStr">
        <is>
          <t>A7</t>
        </is>
      </c>
      <c r="H12" s="4" t="inlineStr">
        <is>
          <t>PD</t>
        </is>
      </c>
      <c r="I12" s="4" t="inlineStr">
        <is>
          <t>3</t>
        </is>
      </c>
      <c r="J12" s="4" t="inlineStr">
        <is>
          <t>G#3</t>
        </is>
      </c>
      <c r="K12" s="4" t="n">
        <v>4</v>
      </c>
      <c r="L12" s="4">
        <f>IF(OR(C12&lt;&gt;C11,K12="",K11=""),"",K12-K11)</f>
        <v/>
      </c>
      <c r="M12" s="4">
        <f>IF(L12="","",IF(L12=0,"repeat",IF(ABS(L12)&lt;=2,"step","leap")))</f>
        <v/>
      </c>
      <c r="N12" s="4">
        <f>IF(F12&lt;&gt;F11,"Y","")</f>
        <v/>
      </c>
      <c r="O12" s="5" t="inlineStr">
        <is>
          <t>Y</t>
        </is>
      </c>
      <c r="P12" s="5" t="inlineStr">
        <is>
          <t>S</t>
        </is>
      </c>
      <c r="Q12" s="5" t="inlineStr">
        <is>
          <t>closed</t>
        </is>
      </c>
      <c r="R12" s="6" t="n"/>
      <c r="S12" s="4" t="n"/>
      <c r="T12" s="4" t="n"/>
      <c r="U12" s="7" t="inlineStr">
        <is>
          <t>descending: 'sy way out'</t>
        </is>
      </c>
    </row>
    <row r="13">
      <c r="A13" s="4" t="inlineStr">
        <is>
          <t>verse</t>
        </is>
      </c>
      <c r="B13" s="4" t="inlineStr">
        <is>
          <t>v-ph2</t>
        </is>
      </c>
      <c r="C13" s="4" t="inlineStr">
        <is>
          <t>lead</t>
        </is>
      </c>
      <c r="D13" s="4" t="n">
        <v>5</v>
      </c>
      <c r="E13" s="4" t="n">
        <v>1.5</v>
      </c>
      <c r="F13" s="4" t="inlineStr">
        <is>
          <t>IV7</t>
        </is>
      </c>
      <c r="G13" s="4" t="inlineStr">
        <is>
          <t>A7</t>
        </is>
      </c>
      <c r="H13" s="4" t="inlineStr">
        <is>
          <t>PD</t>
        </is>
      </c>
      <c r="I13" s="4" t="inlineStr">
        <is>
          <t>2</t>
        </is>
      </c>
      <c r="J13" s="4" t="inlineStr">
        <is>
          <t>F#3</t>
        </is>
      </c>
      <c r="K13" s="4" t="n">
        <v>2</v>
      </c>
      <c r="L13" s="4">
        <f>IF(OR(C13&lt;&gt;C12,K13="",K12=""),"",K13-K12)</f>
        <v/>
      </c>
      <c r="M13" s="4">
        <f>IF(L13="","",IF(L13=0,"repeat",IF(ABS(L13)&lt;=2,"step","leap")))</f>
        <v/>
      </c>
      <c r="N13" s="4">
        <f>IF(F13&lt;&gt;F12,"Y","")</f>
        <v/>
      </c>
      <c r="O13" s="5" t="inlineStr">
        <is>
          <t>N</t>
        </is>
      </c>
      <c r="P13" s="5" t="inlineStr">
        <is>
          <t>u</t>
        </is>
      </c>
      <c r="Q13" s="5" t="inlineStr">
        <is>
          <t>open</t>
        </is>
      </c>
      <c r="R13" s="6" t="n"/>
      <c r="S13" s="4" t="n"/>
      <c r="T13" s="4" t="n"/>
      <c r="U13" s="7" t="inlineStr"/>
    </row>
    <row r="14">
      <c r="A14" s="4" t="inlineStr">
        <is>
          <t>verse</t>
        </is>
      </c>
      <c r="B14" s="4" t="inlineStr">
        <is>
          <t>v-ph2</t>
        </is>
      </c>
      <c r="C14" s="4" t="inlineStr">
        <is>
          <t>lead</t>
        </is>
      </c>
      <c r="D14" s="4" t="n">
        <v>5</v>
      </c>
      <c r="E14" s="4" t="n">
        <v>2</v>
      </c>
      <c r="F14" s="4" t="inlineStr">
        <is>
          <t>IV7</t>
        </is>
      </c>
      <c r="G14" s="4" t="inlineStr">
        <is>
          <t>A7</t>
        </is>
      </c>
      <c r="H14" s="4" t="inlineStr">
        <is>
          <t>PD</t>
        </is>
      </c>
      <c r="I14" s="4" t="inlineStr">
        <is>
          <t>1</t>
        </is>
      </c>
      <c r="J14" s="4" t="inlineStr">
        <is>
          <t>E3</t>
        </is>
      </c>
      <c r="K14" s="4" t="n">
        <v>0</v>
      </c>
      <c r="L14" s="4">
        <f>IF(OR(C14&lt;&gt;C13,K14="",K13=""),"",K14-K13)</f>
        <v/>
      </c>
      <c r="M14" s="4">
        <f>IF(L14="","",IF(L14=0,"repeat",IF(ABS(L14)&lt;=2,"step","leap")))</f>
        <v/>
      </c>
      <c r="N14" s="4">
        <f>IF(F14&lt;&gt;F13,"Y","")</f>
        <v/>
      </c>
      <c r="O14" s="5" t="inlineStr">
        <is>
          <t>N</t>
        </is>
      </c>
      <c r="P14" s="5" t="inlineStr">
        <is>
          <t>S</t>
        </is>
      </c>
      <c r="Q14" s="5" t="inlineStr">
        <is>
          <t>open</t>
        </is>
      </c>
      <c r="R14" s="6" t="n"/>
      <c r="S14" s="4" t="n"/>
      <c r="T14" s="4" t="n"/>
      <c r="U14" s="7" t="inlineStr">
        <is>
          <t>lands on 1 over IV7 (11th) - tied, held 'out'</t>
        </is>
      </c>
    </row>
    <row r="15">
      <c r="A15" s="4" t="inlineStr">
        <is>
          <t>verse</t>
        </is>
      </c>
      <c r="B15" s="4" t="inlineStr">
        <is>
          <t>v-turn</t>
        </is>
      </c>
      <c r="C15" s="4" t="inlineStr">
        <is>
          <t>lead</t>
        </is>
      </c>
      <c r="D15" s="4" t="n">
        <v>6</v>
      </c>
      <c r="E15" s="4" t="n">
        <v>4</v>
      </c>
      <c r="F15" s="4" t="inlineStr">
        <is>
          <t>I7</t>
        </is>
      </c>
      <c r="G15" s="4" t="inlineStr">
        <is>
          <t>E7</t>
        </is>
      </c>
      <c r="H15" s="4" t="inlineStr">
        <is>
          <t>T</t>
        </is>
      </c>
      <c r="I15" s="4" t="inlineStr">
        <is>
          <t>5</t>
        </is>
      </c>
      <c r="J15" s="4" t="inlineStr">
        <is>
          <t>B3</t>
        </is>
      </c>
      <c r="K15" s="4" t="n">
        <v>7</v>
      </c>
      <c r="L15" s="4">
        <f>IF(OR(C15&lt;&gt;C14,K15="",K14=""),"",K15-K14)</f>
        <v/>
      </c>
      <c r="M15" s="4">
        <f>IF(L15="","",IF(L15=0,"repeat",IF(ABS(L15)&lt;=2,"step","leap")))</f>
        <v/>
      </c>
      <c r="N15" s="4">
        <f>IF(F15&lt;&gt;F14,"Y","")</f>
        <v/>
      </c>
      <c r="O15" s="5" t="inlineStr">
        <is>
          <t>N</t>
        </is>
      </c>
      <c r="P15" s="5" t="inlineStr">
        <is>
          <t>u</t>
        </is>
      </c>
      <c r="Q15" s="5" t="inlineStr">
        <is>
          <t>open</t>
        </is>
      </c>
      <c r="R15" s="6" t="n"/>
      <c r="S15" s="4" t="n"/>
      <c r="T15" s="4" t="n"/>
      <c r="U15" s="7" t="inlineStr">
        <is>
          <t>turnaround pickup 'She was a' into refrain (approx)</t>
        </is>
      </c>
    </row>
    <row r="16">
      <c r="A16" s="4" t="inlineStr">
        <is>
          <t>refrain</t>
        </is>
      </c>
      <c r="B16" s="4" t="inlineStr">
        <is>
          <t>r-day</t>
        </is>
      </c>
      <c r="C16" s="4" t="inlineStr">
        <is>
          <t>lead</t>
        </is>
      </c>
      <c r="D16" s="4" t="n">
        <v>1</v>
      </c>
      <c r="E16" s="4" t="n">
        <v>1</v>
      </c>
      <c r="F16" s="4" t="inlineStr">
        <is>
          <t>II7</t>
        </is>
      </c>
      <c r="G16" s="4" t="inlineStr">
        <is>
          <t>F#7</t>
        </is>
      </c>
      <c r="H16" s="4" t="inlineStr">
        <is>
          <t>PD</t>
        </is>
      </c>
      <c r="I16" s="4" t="inlineStr">
        <is>
          <t>6</t>
        </is>
      </c>
      <c r="J16" s="4" t="inlineStr">
        <is>
          <t>C#4</t>
        </is>
      </c>
      <c r="K16" s="4" t="n">
        <v>9</v>
      </c>
      <c r="L16" s="4">
        <f>IF(OR(C16&lt;&gt;C15,K16="",K15=""),"",K16-K15)</f>
        <v/>
      </c>
      <c r="M16" s="4">
        <f>IF(L16="","",IF(L16=0,"repeat",IF(ABS(L16)&lt;=2,"step","leap")))</f>
        <v/>
      </c>
      <c r="N16" s="4">
        <f>IF(F16&lt;&gt;F15,"Y","")</f>
        <v/>
      </c>
      <c r="O16" s="5" t="inlineStr">
        <is>
          <t>Y</t>
        </is>
      </c>
      <c r="P16" s="5" t="inlineStr">
        <is>
          <t>S</t>
        </is>
      </c>
      <c r="Q16" s="5" t="inlineStr">
        <is>
          <t>open</t>
        </is>
      </c>
      <c r="R16" s="6" t="n"/>
      <c r="S16" s="4" t="inlineStr">
        <is>
          <t>#4</t>
        </is>
      </c>
      <c r="T16" s="4" t="inlineStr">
        <is>
          <t>3rd below</t>
        </is>
      </c>
      <c r="U16" s="7" t="inlineStr">
        <is>
          <t>'Day' held/tied dyad; top voice 6 (C#), harmony #4 (A#) below = the 5th+3rd of F#7, bright secondary-dominant color</t>
        </is>
      </c>
    </row>
    <row r="17">
      <c r="A17" s="4" t="inlineStr">
        <is>
          <t>refrain</t>
        </is>
      </c>
      <c r="B17" s="4" t="inlineStr">
        <is>
          <t>r-trip</t>
        </is>
      </c>
      <c r="C17" s="4" t="inlineStr">
        <is>
          <t>lead</t>
        </is>
      </c>
      <c r="D17" s="4" t="n">
        <v>1</v>
      </c>
      <c r="E17" s="4" t="n">
        <v>3</v>
      </c>
      <c r="F17" s="4" t="inlineStr">
        <is>
          <t>II7</t>
        </is>
      </c>
      <c r="G17" s="4" t="inlineStr">
        <is>
          <t>F#7</t>
        </is>
      </c>
      <c r="H17" s="4" t="inlineStr">
        <is>
          <t>PD</t>
        </is>
      </c>
      <c r="I17" s="4" t="inlineStr">
        <is>
          <t>5</t>
        </is>
      </c>
      <c r="J17" s="4" t="inlineStr">
        <is>
          <t>B3</t>
        </is>
      </c>
      <c r="K17" s="4" t="n">
        <v>7</v>
      </c>
      <c r="L17" s="4">
        <f>IF(OR(C17&lt;&gt;C16,K17="",K16=""),"",K17-K16)</f>
        <v/>
      </c>
      <c r="M17" s="4">
        <f>IF(L17="","",IF(L17=0,"repeat",IF(ABS(L17)&lt;=2,"step","leap")))</f>
        <v/>
      </c>
      <c r="N17" s="4">
        <f>IF(F17&lt;&gt;F16,"Y","")</f>
        <v/>
      </c>
      <c r="O17" s="5" t="inlineStr">
        <is>
          <t>N</t>
        </is>
      </c>
      <c r="P17" s="5" t="inlineStr">
        <is>
          <t>S</t>
        </is>
      </c>
      <c r="Q17" s="5" t="inlineStr">
        <is>
          <t>closed</t>
        </is>
      </c>
      <c r="R17" s="6" t="n"/>
      <c r="S17" s="4" t="inlineStr">
        <is>
          <t>3</t>
        </is>
      </c>
      <c r="T17" s="4" t="inlineStr">
        <is>
          <t>3rd below</t>
        </is>
      </c>
      <c r="U17" s="7" t="inlineStr">
        <is>
          <t>'Trip-' descends; dyad B/G#</t>
        </is>
      </c>
    </row>
    <row r="18">
      <c r="A18" s="4" t="inlineStr">
        <is>
          <t>refrain</t>
        </is>
      </c>
      <c r="B18" s="4" t="inlineStr">
        <is>
          <t>r-trip</t>
        </is>
      </c>
      <c r="C18" s="4" t="inlineStr">
        <is>
          <t>lead</t>
        </is>
      </c>
      <c r="D18" s="4" t="n">
        <v>1</v>
      </c>
      <c r="E18" s="4" t="n">
        <v>3.5</v>
      </c>
      <c r="F18" s="4" t="inlineStr">
        <is>
          <t>II7</t>
        </is>
      </c>
      <c r="G18" s="4" t="inlineStr">
        <is>
          <t>F#7</t>
        </is>
      </c>
      <c r="H18" s="4" t="inlineStr">
        <is>
          <t>PD</t>
        </is>
      </c>
      <c r="I18" s="4" t="inlineStr">
        <is>
          <t>#4</t>
        </is>
      </c>
      <c r="J18" s="4" t="inlineStr">
        <is>
          <t>A#3</t>
        </is>
      </c>
      <c r="K18" s="4" t="n">
        <v>6</v>
      </c>
      <c r="L18" s="4">
        <f>IF(OR(C18&lt;&gt;C17,K18="",K17=""),"",K18-K17)</f>
        <v/>
      </c>
      <c r="M18" s="4">
        <f>IF(L18="","",IF(L18=0,"repeat",IF(ABS(L18)&lt;=2,"step","leap")))</f>
        <v/>
      </c>
      <c r="N18" s="4">
        <f>IF(F18&lt;&gt;F17,"Y","")</f>
        <v/>
      </c>
      <c r="O18" s="5" t="inlineStr">
        <is>
          <t>Y</t>
        </is>
      </c>
      <c r="P18" s="5" t="inlineStr">
        <is>
          <t>u</t>
        </is>
      </c>
      <c r="Q18" s="5" t="inlineStr">
        <is>
          <t>open</t>
        </is>
      </c>
      <c r="R18" s="6" t="n"/>
      <c r="S18" s="4" t="inlineStr">
        <is>
          <t>2</t>
        </is>
      </c>
      <c r="T18" s="4" t="inlineStr">
        <is>
          <t>3rd below</t>
        </is>
      </c>
      <c r="U18" s="7" t="inlineStr">
        <is>
          <t>'-per' dyad A#/F#</t>
        </is>
      </c>
    </row>
    <row r="19">
      <c r="A19" s="4" t="inlineStr">
        <is>
          <t>refrain</t>
        </is>
      </c>
      <c r="B19" s="4" t="inlineStr">
        <is>
          <t>r-tick</t>
        </is>
      </c>
      <c r="C19" s="4" t="inlineStr">
        <is>
          <t>lead</t>
        </is>
      </c>
      <c r="D19" s="4" t="n">
        <v>2</v>
      </c>
      <c r="E19" s="4" t="n">
        <v>1</v>
      </c>
      <c r="F19" s="4" t="inlineStr">
        <is>
          <t>II7</t>
        </is>
      </c>
      <c r="G19" s="4" t="inlineStr">
        <is>
          <t>F#7</t>
        </is>
      </c>
      <c r="H19" s="4" t="inlineStr">
        <is>
          <t>PD</t>
        </is>
      </c>
      <c r="I19" s="4" t="inlineStr">
        <is>
          <t>#4</t>
        </is>
      </c>
      <c r="J19" s="4" t="inlineStr">
        <is>
          <t>A#3</t>
        </is>
      </c>
      <c r="K19" s="4" t="n">
        <v>6</v>
      </c>
      <c r="L19" s="4">
        <f>IF(OR(C19&lt;&gt;C18,K19="",K18=""),"",K19-K18)</f>
        <v/>
      </c>
      <c r="M19" s="4">
        <f>IF(L19="","",IF(L19=0,"repeat",IF(ABS(L19)&lt;=2,"step","leap")))</f>
        <v/>
      </c>
      <c r="N19" s="4">
        <f>IF(F19&lt;&gt;F18,"Y","")</f>
        <v/>
      </c>
      <c r="O19" s="5" t="inlineStr">
        <is>
          <t>Y</t>
        </is>
      </c>
      <c r="P19" s="5" t="inlineStr">
        <is>
          <t>S</t>
        </is>
      </c>
      <c r="Q19" s="5" t="inlineStr">
        <is>
          <t>open</t>
        </is>
      </c>
      <c r="R19" s="6" t="n"/>
      <c r="S19" s="4" t="inlineStr">
        <is>
          <t>2</t>
        </is>
      </c>
      <c r="T19" s="4" t="inlineStr">
        <is>
          <t>3rd below</t>
        </is>
      </c>
      <c r="U19" s="7" t="inlineStr">
        <is>
          <t>held into ticket phrase (approx)</t>
        </is>
      </c>
    </row>
    <row r="20">
      <c r="A20" s="4" t="inlineStr">
        <is>
          <t>refrain</t>
        </is>
      </c>
      <c r="B20" s="4" t="inlineStr">
        <is>
          <t>r-one</t>
        </is>
      </c>
      <c r="C20" s="4" t="inlineStr">
        <is>
          <t>lead</t>
        </is>
      </c>
      <c r="D20" s="4" t="n">
        <v>3</v>
      </c>
      <c r="E20" s="4" t="n">
        <v>1</v>
      </c>
      <c r="F20" s="4" t="inlineStr">
        <is>
          <t>IV7</t>
        </is>
      </c>
      <c r="G20" s="4" t="inlineStr">
        <is>
          <t>A7</t>
        </is>
      </c>
      <c r="H20" s="4" t="inlineStr">
        <is>
          <t>PD</t>
        </is>
      </c>
      <c r="I20" s="4" t="inlineStr">
        <is>
          <t>6</t>
        </is>
      </c>
      <c r="J20" s="4" t="inlineStr">
        <is>
          <t>C#4</t>
        </is>
      </c>
      <c r="K20" s="4" t="n">
        <v>9</v>
      </c>
      <c r="L20" s="4">
        <f>IF(OR(C20&lt;&gt;C19,K20="",K19=""),"",K20-K19)</f>
        <v/>
      </c>
      <c r="M20" s="4">
        <f>IF(L20="","",IF(L20=0,"repeat",IF(ABS(L20)&lt;=2,"step","leap")))</f>
        <v/>
      </c>
      <c r="N20" s="4">
        <f>IF(F20&lt;&gt;F19,"Y","")</f>
        <v/>
      </c>
      <c r="O20" s="5" t="inlineStr">
        <is>
          <t>Y</t>
        </is>
      </c>
      <c r="P20" s="5" t="inlineStr">
        <is>
          <t>S</t>
        </is>
      </c>
      <c r="Q20" s="5" t="inlineStr">
        <is>
          <t>open</t>
        </is>
      </c>
      <c r="R20" s="6" t="n"/>
      <c r="S20" s="4" t="inlineStr">
        <is>
          <t>4</t>
        </is>
      </c>
      <c r="T20" s="4" t="inlineStr">
        <is>
          <t>3rd below</t>
        </is>
      </c>
      <c r="U20" s="7" t="inlineStr">
        <is>
          <t>chord change to IV7; 'One way' dyad C#/A</t>
        </is>
      </c>
    </row>
    <row r="21">
      <c r="A21" s="4" t="inlineStr">
        <is>
          <t>refrain</t>
        </is>
      </c>
      <c r="B21" s="4" t="inlineStr">
        <is>
          <t>r-one</t>
        </is>
      </c>
      <c r="C21" s="4" t="inlineStr">
        <is>
          <t>lead</t>
        </is>
      </c>
      <c r="D21" s="4" t="n">
        <v>3</v>
      </c>
      <c r="E21" s="4" t="n">
        <v>2</v>
      </c>
      <c r="F21" s="4" t="inlineStr">
        <is>
          <t>IV7</t>
        </is>
      </c>
      <c r="G21" s="4" t="inlineStr">
        <is>
          <t>A7</t>
        </is>
      </c>
      <c r="H21" s="4" t="inlineStr">
        <is>
          <t>PD</t>
        </is>
      </c>
      <c r="I21" s="4" t="inlineStr">
        <is>
          <t>5</t>
        </is>
      </c>
      <c r="J21" s="4" t="inlineStr">
        <is>
          <t>B3</t>
        </is>
      </c>
      <c r="K21" s="4" t="n">
        <v>7</v>
      </c>
      <c r="L21" s="4">
        <f>IF(OR(C21&lt;&gt;C20,K21="",K20=""),"",K21-K20)</f>
        <v/>
      </c>
      <c r="M21" s="4">
        <f>IF(L21="","",IF(L21=0,"repeat",IF(ABS(L21)&lt;=2,"step","leap")))</f>
        <v/>
      </c>
      <c r="N21" s="4">
        <f>IF(F21&lt;&gt;F20,"Y","")</f>
        <v/>
      </c>
      <c r="O21" s="5" t="inlineStr">
        <is>
          <t>N</t>
        </is>
      </c>
      <c r="P21" s="5" t="inlineStr">
        <is>
          <t>u</t>
        </is>
      </c>
      <c r="Q21" s="5" t="inlineStr">
        <is>
          <t>closed</t>
        </is>
      </c>
      <c r="R21" s="6" t="n"/>
      <c r="S21" s="4" t="inlineStr">
        <is>
          <t>3</t>
        </is>
      </c>
      <c r="T21" s="4" t="inlineStr">
        <is>
          <t>3rd below</t>
        </is>
      </c>
      <c r="U21" s="7" t="inlineStr">
        <is>
          <t>'tic-'</t>
        </is>
      </c>
    </row>
    <row r="22">
      <c r="A22" s="4" t="inlineStr">
        <is>
          <t>refrain</t>
        </is>
      </c>
      <c r="B22" s="4" t="inlineStr">
        <is>
          <t>r-tick</t>
        </is>
      </c>
      <c r="C22" s="4" t="inlineStr">
        <is>
          <t>lead</t>
        </is>
      </c>
      <c r="D22" s="4" t="n">
        <v>3</v>
      </c>
      <c r="E22" s="4" t="n">
        <v>2.5</v>
      </c>
      <c r="F22" s="4" t="inlineStr">
        <is>
          <t>IV7</t>
        </is>
      </c>
      <c r="G22" s="4" t="inlineStr">
        <is>
          <t>A7</t>
        </is>
      </c>
      <c r="H22" s="4" t="inlineStr">
        <is>
          <t>PD</t>
        </is>
      </c>
      <c r="I22" s="4" t="inlineStr">
        <is>
          <t>6</t>
        </is>
      </c>
      <c r="J22" s="4" t="inlineStr">
        <is>
          <t>C#4</t>
        </is>
      </c>
      <c r="K22" s="4" t="n">
        <v>9</v>
      </c>
      <c r="L22" s="4">
        <f>IF(OR(C22&lt;&gt;C21,K22="",K21=""),"",K22-K21)</f>
        <v/>
      </c>
      <c r="M22" s="4">
        <f>IF(L22="","",IF(L22=0,"repeat",IF(ABS(L22)&lt;=2,"step","leap")))</f>
        <v/>
      </c>
      <c r="N22" s="4">
        <f>IF(F22&lt;&gt;F21,"Y","")</f>
        <v/>
      </c>
      <c r="O22" s="5" t="inlineStr">
        <is>
          <t>Y</t>
        </is>
      </c>
      <c r="P22" s="5" t="inlineStr">
        <is>
          <t>S</t>
        </is>
      </c>
      <c r="Q22" s="5" t="inlineStr">
        <is>
          <t>open</t>
        </is>
      </c>
      <c r="R22" s="6" t="n"/>
      <c r="S22" s="4" t="inlineStr">
        <is>
          <t>4</t>
        </is>
      </c>
      <c r="T22" s="4" t="inlineStr">
        <is>
          <t>3rd below</t>
        </is>
      </c>
      <c r="U22" s="7" t="inlineStr">
        <is>
          <t>'-ket' rises back</t>
        </is>
      </c>
    </row>
    <row r="23">
      <c r="A23" s="4" t="inlineStr">
        <is>
          <t>refrain</t>
        </is>
      </c>
      <c r="B23" s="4" t="inlineStr">
        <is>
          <t>r-yeah</t>
        </is>
      </c>
      <c r="C23" s="4" t="inlineStr">
        <is>
          <t>lead</t>
        </is>
      </c>
      <c r="D23" s="4" t="n">
        <v>3</v>
      </c>
      <c r="E23" s="4" t="n">
        <v>3.5</v>
      </c>
      <c r="F23" s="4" t="inlineStr">
        <is>
          <t>IV7</t>
        </is>
      </c>
      <c r="G23" s="4" t="inlineStr">
        <is>
          <t>A7</t>
        </is>
      </c>
      <c r="H23" s="4" t="inlineStr">
        <is>
          <t>PD</t>
        </is>
      </c>
      <c r="I23" s="4" t="inlineStr">
        <is>
          <t>5</t>
        </is>
      </c>
      <c r="J23" s="4" t="inlineStr">
        <is>
          <t>B3</t>
        </is>
      </c>
      <c r="K23" s="4" t="n">
        <v>7</v>
      </c>
      <c r="L23" s="4">
        <f>IF(OR(C23&lt;&gt;C22,K23="",K22=""),"",K23-K22)</f>
        <v/>
      </c>
      <c r="M23" s="4">
        <f>IF(L23="","",IF(L23=0,"repeat",IF(ABS(L23)&lt;=2,"step","leap")))</f>
        <v/>
      </c>
      <c r="N23" s="4">
        <f>IF(F23&lt;&gt;F22,"Y","")</f>
        <v/>
      </c>
      <c r="O23" s="5" t="inlineStr">
        <is>
          <t>N</t>
        </is>
      </c>
      <c r="P23" s="5" t="inlineStr">
        <is>
          <t>S</t>
        </is>
      </c>
      <c r="Q23" s="5" t="inlineStr">
        <is>
          <t>open</t>
        </is>
      </c>
      <c r="R23" s="6" t="n"/>
      <c r="S23" s="4" t="inlineStr">
        <is>
          <t>3</t>
        </is>
      </c>
      <c r="T23" s="4" t="inlineStr">
        <is>
          <t>3rd below</t>
        </is>
      </c>
      <c r="U23" s="7" t="inlineStr">
        <is>
          <t>'Yeah' dyad, tied/held (approx)</t>
        </is>
      </c>
    </row>
    <row r="24">
      <c r="A24" s="4" t="inlineStr">
        <is>
          <t>bridge</t>
        </is>
      </c>
      <c r="B24" s="4" t="inlineStr">
        <is>
          <t>b-took</t>
        </is>
      </c>
      <c r="C24" s="4" t="inlineStr">
        <is>
          <t>lead</t>
        </is>
      </c>
      <c r="D24" s="4" t="n">
        <v>1</v>
      </c>
      <c r="E24" s="4" t="n">
        <v>4.5</v>
      </c>
      <c r="F24" s="4" t="inlineStr">
        <is>
          <t>I7</t>
        </is>
      </c>
      <c r="G24" s="4" t="inlineStr">
        <is>
          <t>E7</t>
        </is>
      </c>
      <c r="H24" s="4" t="inlineStr">
        <is>
          <t>T</t>
        </is>
      </c>
      <c r="I24" s="4" t="inlineStr">
        <is>
          <t>5</t>
        </is>
      </c>
      <c r="J24" s="4" t="inlineStr">
        <is>
          <t>B3</t>
        </is>
      </c>
      <c r="K24" s="4" t="n">
        <v>7</v>
      </c>
      <c r="L24" s="4">
        <f>IF(OR(C24&lt;&gt;C23,K24="",K23=""),"",K24-K23)</f>
        <v/>
      </c>
      <c r="M24" s="4">
        <f>IF(L24="","",IF(L24=0,"repeat",IF(ABS(L24)&lt;=2,"step","leap")))</f>
        <v/>
      </c>
      <c r="N24" s="4">
        <f>IF(F24&lt;&gt;F23,"Y","")</f>
        <v/>
      </c>
      <c r="O24" s="5" t="inlineStr">
        <is>
          <t>N</t>
        </is>
      </c>
      <c r="P24" s="5" t="inlineStr">
        <is>
          <t>u</t>
        </is>
      </c>
      <c r="Q24" s="5" t="inlineStr">
        <is>
          <t>open</t>
        </is>
      </c>
      <c r="R24" s="6" t="n"/>
      <c r="S24" s="4" t="n"/>
      <c r="T24" s="4" t="n"/>
      <c r="U24" s="7" t="inlineStr">
        <is>
          <t>pickup 'It took me so' over E7 vamp (approx)</t>
        </is>
      </c>
    </row>
    <row r="25">
      <c r="A25" s="4" t="inlineStr">
        <is>
          <t>bridge</t>
        </is>
      </c>
      <c r="B25" s="4" t="inlineStr">
        <is>
          <t>b-long</t>
        </is>
      </c>
      <c r="C25" s="4" t="inlineStr">
        <is>
          <t>lead</t>
        </is>
      </c>
      <c r="D25" s="4" t="n">
        <v>2</v>
      </c>
      <c r="E25" s="4" t="n">
        <v>1</v>
      </c>
      <c r="F25" s="4" t="inlineStr">
        <is>
          <t>III7</t>
        </is>
      </c>
      <c r="G25" s="4" t="inlineStr">
        <is>
          <t>G#7</t>
        </is>
      </c>
      <c r="H25" s="4" t="inlineStr">
        <is>
          <t>D</t>
        </is>
      </c>
      <c r="I25" s="4" t="inlineStr">
        <is>
          <t>3</t>
        </is>
      </c>
      <c r="J25" s="4" t="inlineStr">
        <is>
          <t>G#3</t>
        </is>
      </c>
      <c r="K25" s="4" t="n">
        <v>4</v>
      </c>
      <c r="L25" s="4">
        <f>IF(OR(C25&lt;&gt;C24,K25="",K24=""),"",K25-K24)</f>
        <v/>
      </c>
      <c r="M25" s="4">
        <f>IF(L25="","",IF(L25=0,"repeat",IF(ABS(L25)&lt;=2,"step","leap")))</f>
        <v/>
      </c>
      <c r="N25" s="4">
        <f>IF(F25&lt;&gt;F24,"Y","")</f>
        <v/>
      </c>
      <c r="O25" s="5" t="inlineStr">
        <is>
          <t>Y</t>
        </is>
      </c>
      <c r="P25" s="5" t="inlineStr">
        <is>
          <t>S</t>
        </is>
      </c>
      <c r="Q25" s="5" t="inlineStr">
        <is>
          <t>open</t>
        </is>
      </c>
      <c r="R25" s="6" t="n"/>
      <c r="S25" s="4" t="n"/>
      <c r="T25" s="4" t="n"/>
      <c r="U25" s="7" t="inlineStr">
        <is>
          <t>chord change to III7 (applied V/vi); 'long' on the chord root G#</t>
        </is>
      </c>
    </row>
    <row r="26">
      <c r="A26" s="4" t="inlineStr">
        <is>
          <t>bridge</t>
        </is>
      </c>
      <c r="B26" s="4" t="inlineStr">
        <is>
          <t>b-long</t>
        </is>
      </c>
      <c r="C26" s="4" t="inlineStr">
        <is>
          <t>lead</t>
        </is>
      </c>
      <c r="D26" s="4" t="n">
        <v>2</v>
      </c>
      <c r="E26" s="4" t="n">
        <v>2</v>
      </c>
      <c r="F26" s="4" t="inlineStr">
        <is>
          <t>III7</t>
        </is>
      </c>
      <c r="G26" s="4" t="inlineStr">
        <is>
          <t>G#7</t>
        </is>
      </c>
      <c r="H26" s="4" t="inlineStr">
        <is>
          <t>D</t>
        </is>
      </c>
      <c r="I26" s="4" t="inlineStr">
        <is>
          <t>4</t>
        </is>
      </c>
      <c r="J26" s="4" t="inlineStr">
        <is>
          <t>A3</t>
        </is>
      </c>
      <c r="K26" s="4" t="n">
        <v>5</v>
      </c>
      <c r="L26" s="4">
        <f>IF(OR(C26&lt;&gt;C25,K26="",K25=""),"",K26-K25)</f>
        <v/>
      </c>
      <c r="M26" s="4">
        <f>IF(L26="","",IF(L26=0,"repeat",IF(ABS(L26)&lt;=2,"step","leap")))</f>
        <v/>
      </c>
      <c r="N26" s="4">
        <f>IF(F26&lt;&gt;F25,"Y","")</f>
        <v/>
      </c>
      <c r="O26" s="5" t="inlineStr">
        <is>
          <t>N</t>
        </is>
      </c>
      <c r="P26" s="5" t="inlineStr">
        <is>
          <t>u</t>
        </is>
      </c>
      <c r="Q26" s="5" t="inlineStr">
        <is>
          <t>open</t>
        </is>
      </c>
      <c r="R26" s="6" t="n"/>
      <c r="S26" s="4" t="n"/>
      <c r="T26" s="4" t="n"/>
      <c r="U26" s="7" t="inlineStr">
        <is>
          <t>'to' rising</t>
        </is>
      </c>
    </row>
    <row r="27">
      <c r="A27" s="4" t="inlineStr">
        <is>
          <t>bridge</t>
        </is>
      </c>
      <c r="B27" s="4" t="inlineStr">
        <is>
          <t>b-find</t>
        </is>
      </c>
      <c r="C27" s="4" t="inlineStr">
        <is>
          <t>lead</t>
        </is>
      </c>
      <c r="D27" s="4" t="n">
        <v>2</v>
      </c>
      <c r="E27" s="4" t="n">
        <v>3</v>
      </c>
      <c r="F27" s="4" t="inlineStr">
        <is>
          <t>III7</t>
        </is>
      </c>
      <c r="G27" s="4" t="inlineStr">
        <is>
          <t>G#7</t>
        </is>
      </c>
      <c r="H27" s="4" t="inlineStr">
        <is>
          <t>D</t>
        </is>
      </c>
      <c r="I27" s="4" t="inlineStr">
        <is>
          <t>5</t>
        </is>
      </c>
      <c r="J27" s="4" t="inlineStr">
        <is>
          <t>B3</t>
        </is>
      </c>
      <c r="K27" s="4" t="n">
        <v>7</v>
      </c>
      <c r="L27" s="4">
        <f>IF(OR(C27&lt;&gt;C26,K27="",K26=""),"",K27-K26)</f>
        <v/>
      </c>
      <c r="M27" s="4">
        <f>IF(L27="","",IF(L27=0,"repeat",IF(ABS(L27)&lt;=2,"step","leap")))</f>
        <v/>
      </c>
      <c r="N27" s="4">
        <f>IF(F27&lt;&gt;F26,"Y","")</f>
        <v/>
      </c>
      <c r="O27" s="5" t="inlineStr">
        <is>
          <t>N</t>
        </is>
      </c>
      <c r="P27" s="5" t="inlineStr">
        <is>
          <t>S</t>
        </is>
      </c>
      <c r="Q27" s="5" t="inlineStr">
        <is>
          <t>open</t>
        </is>
      </c>
      <c r="R27" s="6" t="n"/>
      <c r="S27" s="4" t="n"/>
      <c r="T27" s="4" t="n"/>
      <c r="U27" s="7" t="inlineStr">
        <is>
          <t>'find' - build climbs; APPROX</t>
        </is>
      </c>
    </row>
    <row r="28">
      <c r="A28" s="4" t="inlineStr">
        <is>
          <t>bridge</t>
        </is>
      </c>
      <c r="B28" s="4" t="inlineStr">
        <is>
          <t>b-out</t>
        </is>
      </c>
      <c r="C28" s="4" t="inlineStr">
        <is>
          <t>lead</t>
        </is>
      </c>
      <c r="D28" s="4" t="n">
        <v>3</v>
      </c>
      <c r="E28" s="4" t="n">
        <v>1</v>
      </c>
      <c r="F28" s="4" t="inlineStr">
        <is>
          <t>VI7</t>
        </is>
      </c>
      <c r="G28" s="4" t="inlineStr">
        <is>
          <t>C#7</t>
        </is>
      </c>
      <c r="H28" s="4" t="inlineStr">
        <is>
          <t>D</t>
        </is>
      </c>
      <c r="I28" s="4" t="inlineStr">
        <is>
          <t>6</t>
        </is>
      </c>
      <c r="J28" s="4" t="inlineStr">
        <is>
          <t>C#4</t>
        </is>
      </c>
      <c r="K28" s="4" t="n">
        <v>9</v>
      </c>
      <c r="L28" s="4">
        <f>IF(OR(C28&lt;&gt;C27,K28="",K27=""),"",K28-K27)</f>
        <v/>
      </c>
      <c r="M28" s="4">
        <f>IF(L28="","",IF(L28=0,"repeat",IF(ABS(L28)&lt;=2,"step","leap")))</f>
        <v/>
      </c>
      <c r="N28" s="4">
        <f>IF(F28&lt;&gt;F27,"Y","")</f>
        <v/>
      </c>
      <c r="O28" s="5" t="inlineStr">
        <is>
          <t>Y</t>
        </is>
      </c>
      <c r="P28" s="5" t="inlineStr">
        <is>
          <t>S</t>
        </is>
      </c>
      <c r="Q28" s="5" t="inlineStr">
        <is>
          <t>open</t>
        </is>
      </c>
      <c r="R28" s="6" t="n"/>
      <c r="S28" s="4" t="n"/>
      <c r="T28" s="4" t="n"/>
      <c r="U28" s="7" t="inlineStr">
        <is>
          <t>chord change to VI7 (applied V/ii); 'out' on root C#, higher - sequence up a 4th</t>
        </is>
      </c>
    </row>
    <row r="29">
      <c r="A29" s="4" t="inlineStr">
        <is>
          <t>bridge</t>
        </is>
      </c>
      <c r="B29" s="4" t="inlineStr">
        <is>
          <t>b-out</t>
        </is>
      </c>
      <c r="C29" s="4" t="inlineStr">
        <is>
          <t>lead</t>
        </is>
      </c>
      <c r="D29" s="4" t="n">
        <v>3</v>
      </c>
      <c r="E29" s="4" t="n">
        <v>2</v>
      </c>
      <c r="F29" s="4" t="inlineStr">
        <is>
          <t>VI7</t>
        </is>
      </c>
      <c r="G29" s="4" t="inlineStr">
        <is>
          <t>C#7</t>
        </is>
      </c>
      <c r="H29" s="4" t="inlineStr">
        <is>
          <t>D</t>
        </is>
      </c>
      <c r="I29" s="4" t="inlineStr">
        <is>
          <t>1</t>
        </is>
      </c>
      <c r="J29" s="4" t="inlineStr">
        <is>
          <t>E4</t>
        </is>
      </c>
      <c r="K29" s="4" t="n">
        <v>12</v>
      </c>
      <c r="L29" s="4">
        <f>IF(OR(C29&lt;&gt;C28,K29="",K28=""),"",K29-K28)</f>
        <v/>
      </c>
      <c r="M29" s="4">
        <f>IF(L29="","",IF(L29=0,"repeat",IF(ABS(L29)&lt;=2,"step","leap")))</f>
        <v/>
      </c>
      <c r="N29" s="4">
        <f>IF(F29&lt;&gt;F28,"Y","")</f>
        <v/>
      </c>
      <c r="O29" s="5" t="inlineStr">
        <is>
          <t>N</t>
        </is>
      </c>
      <c r="P29" s="5" t="inlineStr">
        <is>
          <t>u</t>
        </is>
      </c>
      <c r="Q29" s="5" t="inlineStr">
        <is>
          <t>open</t>
        </is>
      </c>
      <c r="R29" s="6" t="n"/>
      <c r="S29" s="4" t="n"/>
      <c r="T29" s="4" t="n"/>
      <c r="U29" s="7" t="inlineStr">
        <is>
          <t>reaches high tonic E - peak of the build (approx)</t>
        </is>
      </c>
    </row>
    <row r="30">
      <c r="A30" s="4" t="inlineStr">
        <is>
          <t>bridge</t>
        </is>
      </c>
      <c r="B30" s="4" t="inlineStr">
        <is>
          <t>b-and</t>
        </is>
      </c>
      <c r="C30" s="4" t="inlineStr">
        <is>
          <t>lead</t>
        </is>
      </c>
      <c r="D30" s="4" t="n">
        <v>4</v>
      </c>
      <c r="E30" s="4" t="n">
        <v>1</v>
      </c>
      <c r="F30" s="4" t="inlineStr">
        <is>
          <t>V7</t>
        </is>
      </c>
      <c r="G30" s="4" t="inlineStr">
        <is>
          <t>B7</t>
        </is>
      </c>
      <c r="H30" s="4" t="inlineStr">
        <is>
          <t>D</t>
        </is>
      </c>
      <c r="I30" s="4" t="inlineStr">
        <is>
          <t>7</t>
        </is>
      </c>
      <c r="J30" s="4" t="inlineStr">
        <is>
          <t>D#4</t>
        </is>
      </c>
      <c r="K30" s="4" t="n">
        <v>11</v>
      </c>
      <c r="L30" s="4">
        <f>IF(OR(C30&lt;&gt;C29,K30="",K29=""),"",K30-K29)</f>
        <v/>
      </c>
      <c r="M30" s="4">
        <f>IF(L30="","",IF(L30=0,"repeat",IF(ABS(L30)&lt;=2,"step","leap")))</f>
        <v/>
      </c>
      <c r="N30" s="4">
        <f>IF(F30&lt;&gt;F29,"Y","")</f>
        <v/>
      </c>
      <c r="O30" s="5" t="inlineStr">
        <is>
          <t>N</t>
        </is>
      </c>
      <c r="P30" s="5" t="inlineStr">
        <is>
          <t>S</t>
        </is>
      </c>
      <c r="Q30" s="5" t="inlineStr">
        <is>
          <t>open</t>
        </is>
      </c>
      <c r="R30" s="6" t="n"/>
      <c r="S30" s="4" t="n"/>
      <c r="T30" s="4" t="n"/>
      <c r="U30" s="7" t="inlineStr">
        <is>
          <t>chord change to V7; leading tone D# - maximum pull home</t>
        </is>
      </c>
    </row>
    <row r="31">
      <c r="A31" s="4" t="inlineStr">
        <is>
          <t>bridge</t>
        </is>
      </c>
      <c r="B31" s="4" t="inlineStr">
        <is>
          <t>b-found</t>
        </is>
      </c>
      <c r="C31" s="4" t="inlineStr">
        <is>
          <t>lead</t>
        </is>
      </c>
      <c r="D31" s="4" t="n">
        <v>4</v>
      </c>
      <c r="E31" s="4" t="n">
        <v>2</v>
      </c>
      <c r="F31" s="4" t="inlineStr">
        <is>
          <t>V7</t>
        </is>
      </c>
      <c r="G31" s="4" t="inlineStr">
        <is>
          <t>B7</t>
        </is>
      </c>
      <c r="H31" s="4" t="inlineStr">
        <is>
          <t>D</t>
        </is>
      </c>
      <c r="I31" s="4" t="inlineStr">
        <is>
          <t>6</t>
        </is>
      </c>
      <c r="J31" s="4" t="inlineStr">
        <is>
          <t>C#4</t>
        </is>
      </c>
      <c r="K31" s="4" t="n">
        <v>9</v>
      </c>
      <c r="L31" s="4">
        <f>IF(OR(C31&lt;&gt;C30,K31="",K30=""),"",K31-K30)</f>
        <v/>
      </c>
      <c r="M31" s="4">
        <f>IF(L31="","",IF(L31=0,"repeat",IF(ABS(L31)&lt;=2,"step","leap")))</f>
        <v/>
      </c>
      <c r="N31" s="4">
        <f>IF(F31&lt;&gt;F30,"Y","")</f>
        <v/>
      </c>
      <c r="O31" s="5" t="inlineStr">
        <is>
          <t>N</t>
        </is>
      </c>
      <c r="P31" s="5" t="inlineStr">
        <is>
          <t>u</t>
        </is>
      </c>
      <c r="Q31" s="5" t="inlineStr">
        <is>
          <t>open</t>
        </is>
      </c>
      <c r="R31" s="6" t="n"/>
      <c r="S31" s="4" t="n"/>
      <c r="T31" s="4" t="n"/>
      <c r="U31" s="7" t="inlineStr">
        <is>
          <t>'found' descending</t>
        </is>
      </c>
    </row>
    <row r="32">
      <c r="A32" s="4" t="inlineStr">
        <is>
          <t>bridge</t>
        </is>
      </c>
      <c r="B32" s="4" t="inlineStr">
        <is>
          <t>b-out2</t>
        </is>
      </c>
      <c r="C32" s="4" t="inlineStr">
        <is>
          <t>lead</t>
        </is>
      </c>
      <c r="D32" s="4" t="n">
        <v>4</v>
      </c>
      <c r="E32" s="4" t="n">
        <v>3</v>
      </c>
      <c r="F32" s="4" t="inlineStr">
        <is>
          <t>V7</t>
        </is>
      </c>
      <c r="G32" s="4" t="inlineStr">
        <is>
          <t>B7</t>
        </is>
      </c>
      <c r="H32" s="4" t="inlineStr">
        <is>
          <t>D</t>
        </is>
      </c>
      <c r="I32" s="4" t="inlineStr">
        <is>
          <t>5</t>
        </is>
      </c>
      <c r="J32" s="4" t="inlineStr">
        <is>
          <t>B3</t>
        </is>
      </c>
      <c r="K32" s="4" t="n">
        <v>7</v>
      </c>
      <c r="L32" s="4">
        <f>IF(OR(C32&lt;&gt;C31,K32="",K31=""),"",K32-K31)</f>
        <v/>
      </c>
      <c r="M32" s="4">
        <f>IF(L32="","",IF(L32=0,"repeat",IF(ABS(L32)&lt;=2,"step","leap")))</f>
        <v/>
      </c>
      <c r="N32" s="4">
        <f>IF(F32&lt;&gt;F31,"Y","")</f>
        <v/>
      </c>
      <c r="O32" s="5" t="inlineStr">
        <is>
          <t>Y</t>
        </is>
      </c>
      <c r="P32" s="5" t="inlineStr">
        <is>
          <t>S</t>
        </is>
      </c>
      <c r="Q32" s="5" t="inlineStr">
        <is>
          <t>open</t>
        </is>
      </c>
      <c r="R32" s="6" t="n"/>
      <c r="S32" s="4" t="n"/>
      <c r="T32" s="4" t="n"/>
      <c r="U32" s="7" t="inlineStr">
        <is>
          <t>'out' on 5 (the 5th-&gt;root of B7); resolves back into verse E7 (D.S.)</t>
        </is>
      </c>
    </row>
  </sheetData>
  <autoFilter ref="A1:U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2026-07-12T20:07:43Z</dcterms:created>
  <dcterms:modified xsi:type="dcterms:W3CDTF">2026-07-12T20:07:43Z</dcterms:modified>
</cp:coreProperties>
</file>