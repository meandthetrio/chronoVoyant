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" sheetId="1" state="visible" r:id="rId1"/>
    <sheet name="Notes" sheetId="2" state="visible" r:id="rId2"/>
  </sheets>
  <definedNames>
    <definedName name="_xlnm._FilterDatabase" localSheetId="1" hidden="1">'Notes'!$A$1:$U$63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i val="1"/>
      <sz val="10"/>
    </font>
    <font>
      <name val="Arial"/>
      <color rgb="000000FF"/>
      <sz val="10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D9D9D9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  <xf numFmtId="0" fontId="2" fillId="0" borderId="1" applyAlignment="1" pivotButton="0" quotePrefix="0" xfId="0">
      <alignment horizontal="center"/>
    </xf>
    <xf numFmtId="0" fontId="4" fillId="3" borderId="1" pivotButton="0" quotePrefix="0" xfId="0"/>
    <xf numFmtId="0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0"/>
  <sheetViews>
    <sheetView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1" t="inlineStr">
        <is>
          <t>Across the Universe - melody/chord/word sync (PILOT)</t>
        </is>
      </c>
    </row>
    <row r="2">
      <c r="A2" s="2" t="inlineStr">
        <is>
          <t>Key: D major. One row per sung note (one strophe: verse, mantra, refrain).</t>
        </is>
      </c>
    </row>
    <row r="3">
      <c r="A3" s="2" t="inlineStr"/>
    </row>
    <row r="4">
      <c r="A4" s="2" t="inlineStr">
        <is>
          <t>YELLOW cells (column P, 'word') are yours to fill while listening -</t>
        </is>
      </c>
    </row>
    <row r="5">
      <c r="A5" s="2" t="inlineStr">
        <is>
          <t>one word or syllable per row. Everything else is pre-filled analysis.</t>
        </is>
      </c>
    </row>
    <row r="6">
      <c r="A6" s="2" t="inlineStr"/>
    </row>
    <row r="7">
      <c r="A7" s="2" t="inlineStr">
        <is>
          <t>Column guide:</t>
        </is>
      </c>
    </row>
    <row r="8">
      <c r="A8" s="2" t="inlineStr">
        <is>
          <t>section / phrase - song section and phrase label</t>
        </is>
      </c>
    </row>
    <row r="9">
      <c r="A9" s="2" t="inlineStr">
        <is>
          <t>bar / beat - position within the phrase (beat 1 = downbeat; 1.5 = the 'and' of 1)</t>
        </is>
      </c>
    </row>
    <row r="10">
      <c r="A10" s="2" t="inlineStr">
        <is>
          <t>chord / chord_letter / function - harmony under this note (T/PD/D = BeatlesFC stability)</t>
        </is>
      </c>
    </row>
    <row r="11">
      <c r="A11" s="2" t="inlineStr">
        <is>
          <t>degree - melody note as scale degree in D (matches MusicTheory/AXIOMS.md)</t>
        </is>
      </c>
    </row>
    <row r="12">
      <c r="A12" s="2" t="inlineStr">
        <is>
          <t>note - letter name; semis - semitones above D3 (register-aware, drives interval column)</t>
        </is>
      </c>
    </row>
    <row r="13">
      <c r="A13" s="2" t="inlineStr">
        <is>
          <t>interval - semitones from previous note (formula); motion - repeat/step/leap (formula)</t>
        </is>
      </c>
    </row>
    <row r="14">
      <c r="A14" s="2" t="inlineStr">
        <is>
          <t>chord_change - Y when the harmony changes on this note ('melody interval at the chord change')</t>
        </is>
      </c>
    </row>
    <row r="15">
      <c r="A15" s="2" t="inlineStr">
        <is>
          <t>chord_tone - Y if the melody note is in the chord (N = color/tension note)</t>
        </is>
      </c>
    </row>
    <row r="16">
      <c r="A16" s="2" t="inlineStr">
        <is>
          <t>stress - S stressed / u unstressed syllable; vowel - coarse open/closed class</t>
        </is>
      </c>
    </row>
    <row r="17">
      <c r="A17" s="2" t="inlineStr">
        <is>
          <t>comment - analytical notes</t>
        </is>
      </c>
    </row>
    <row r="18">
      <c r="A18" s="2" t="inlineStr">
        <is>
          <t>voice - lead / chorus / harmony: independent backing lines get their own rows</t>
        </is>
      </c>
    </row>
    <row r="19">
      <c r="A19" s="2" t="inlineStr">
        <is>
          <t xml:space="preserve">   (block pads appear as stacked degrees like 5+7+2, bottom to top)</t>
        </is>
      </c>
    </row>
    <row r="20">
      <c r="A20" s="2" t="inlineStr">
        <is>
          <t>harm_degrees / harm_intervals - for a harmony sung syllable-for-syllable WITH the lead:</t>
        </is>
      </c>
    </row>
    <row r="21">
      <c r="A21" s="2" t="inlineStr">
        <is>
          <t xml:space="preserve">   its degrees and interval vs lead go in these columns on the lead row (empty in this song)</t>
        </is>
      </c>
    </row>
    <row r="22">
      <c r="A22" s="2" t="inlineStr"/>
    </row>
    <row r="23">
      <c r="A23" s="2" t="inlineStr">
        <is>
          <t>Filter ideas: chord_change=Y shows what interval the melody makes at every change;</t>
        </is>
      </c>
    </row>
    <row r="24">
      <c r="A24" s="2" t="inlineStr">
        <is>
          <t>chord_tone=N shows where the voice rubs against the harmony;</t>
        </is>
      </c>
    </row>
    <row r="25">
      <c r="A25" s="2" t="inlineStr">
        <is>
          <t>stress=S with beat=1.0 checks prosody (stress on strong beats).</t>
        </is>
      </c>
    </row>
    <row r="26">
      <c r="A26" s="2" t="inlineStr"/>
    </row>
    <row r="27">
      <c r="A27" s="2" t="inlineStr">
        <is>
          <t>Melody source: The Beatles - Complete Scores (hand-read, pilot). Chords: Isophonics</t>
        </is>
      </c>
    </row>
    <row r="28">
      <c r="A28" s="2" t="inlineStr">
        <is>
          <t>(varispeed-corrected to D). Functions: BeatlesFC. Sub-beat rhythm on slurs approximate.</t>
        </is>
      </c>
    </row>
    <row r="30">
      <c r="A30" s="3" t="inlineStr">
        <is>
          <t>Example of a filled word cell: a single word, or one syllable like 'fly-' for a split word.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6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5" customWidth="1" min="4" max="4"/>
    <col width="6" customWidth="1" min="5" max="5"/>
    <col width="7" customWidth="1" min="6" max="6"/>
    <col width="11" customWidth="1" min="7" max="7"/>
    <col width="9" customWidth="1" min="8" max="8"/>
    <col width="9" customWidth="1" min="9" max="9"/>
    <col width="9" customWidth="1" min="10" max="10"/>
    <col width="6" customWidth="1" min="11" max="11"/>
    <col width="8" customWidth="1" min="12" max="12"/>
    <col width="8" customWidth="1" min="13" max="13"/>
    <col width="13" customWidth="1" min="14" max="14"/>
    <col width="11" customWidth="1" min="15" max="15"/>
    <col width="7" customWidth="1" min="16" max="16"/>
    <col width="8" customWidth="1" min="17" max="17"/>
    <col width="14" customWidth="1" min="18" max="18"/>
    <col width="12" customWidth="1" min="19" max="19"/>
    <col width="13" customWidth="1" min="20" max="20"/>
    <col width="55" customWidth="1" min="21" max="21"/>
  </cols>
  <sheetData>
    <row r="1">
      <c r="A1" s="4" t="inlineStr">
        <is>
          <t>section</t>
        </is>
      </c>
      <c r="B1" s="4" t="inlineStr">
        <is>
          <t>phrase</t>
        </is>
      </c>
      <c r="C1" s="4" t="inlineStr">
        <is>
          <t>voice</t>
        </is>
      </c>
      <c r="D1" s="4" t="inlineStr">
        <is>
          <t>bar</t>
        </is>
      </c>
      <c r="E1" s="4" t="inlineStr">
        <is>
          <t>beat</t>
        </is>
      </c>
      <c r="F1" s="4" t="inlineStr">
        <is>
          <t>chord</t>
        </is>
      </c>
      <c r="G1" s="4" t="inlineStr">
        <is>
          <t>chord_letter</t>
        </is>
      </c>
      <c r="H1" s="4" t="inlineStr">
        <is>
          <t>function</t>
        </is>
      </c>
      <c r="I1" s="4" t="inlineStr">
        <is>
          <t>degree</t>
        </is>
      </c>
      <c r="J1" s="4" t="inlineStr">
        <is>
          <t>note</t>
        </is>
      </c>
      <c r="K1" s="4" t="inlineStr">
        <is>
          <t>semis</t>
        </is>
      </c>
      <c r="L1" s="4" t="inlineStr">
        <is>
          <t>interval</t>
        </is>
      </c>
      <c r="M1" s="4" t="inlineStr">
        <is>
          <t>motion</t>
        </is>
      </c>
      <c r="N1" s="4" t="inlineStr">
        <is>
          <t>chord_change</t>
        </is>
      </c>
      <c r="O1" s="4" t="inlineStr">
        <is>
          <t>chord_tone</t>
        </is>
      </c>
      <c r="P1" s="4" t="inlineStr">
        <is>
          <t>stress</t>
        </is>
      </c>
      <c r="Q1" s="4" t="inlineStr">
        <is>
          <t>vowel</t>
        </is>
      </c>
      <c r="R1" s="4" t="inlineStr">
        <is>
          <t>word</t>
        </is>
      </c>
      <c r="S1" s="4" t="inlineStr">
        <is>
          <t>harm_degrees</t>
        </is>
      </c>
      <c r="T1" s="4" t="inlineStr">
        <is>
          <t>harm_intervals</t>
        </is>
      </c>
      <c r="U1" s="4" t="inlineStr">
        <is>
          <t>comment</t>
        </is>
      </c>
    </row>
    <row r="2">
      <c r="A2" s="5" t="inlineStr">
        <is>
          <t>verse</t>
        </is>
      </c>
      <c r="B2" s="5" t="inlineStr">
        <is>
          <t>V1</t>
        </is>
      </c>
      <c r="C2" s="5" t="inlineStr">
        <is>
          <t>lead</t>
        </is>
      </c>
      <c r="D2" s="5" t="n">
        <v>1</v>
      </c>
      <c r="E2" s="5" t="n">
        <v>1</v>
      </c>
      <c r="F2" s="5" t="inlineStr">
        <is>
          <t>I</t>
        </is>
      </c>
      <c r="G2" s="5" t="inlineStr">
        <is>
          <t>D</t>
        </is>
      </c>
      <c r="H2" s="5" t="inlineStr">
        <is>
          <t>T</t>
        </is>
      </c>
      <c r="I2" s="5" t="inlineStr">
        <is>
          <t>7</t>
        </is>
      </c>
      <c r="J2" s="5" t="inlineStr">
        <is>
          <t>C#</t>
        </is>
      </c>
      <c r="K2" s="5" t="n">
        <v>11</v>
      </c>
      <c r="L2" s="5" t="inlineStr"/>
      <c r="M2" s="5">
        <f>IF(L2="","",IF(L2=0,"repeat",IF(ABS(L2)&lt;=2,"step","leap")))</f>
        <v/>
      </c>
      <c r="N2" s="5">
        <f>"Y"</f>
        <v/>
      </c>
      <c r="O2" s="6" t="inlineStr">
        <is>
          <t>N</t>
        </is>
      </c>
      <c r="P2" s="6" t="inlineStr">
        <is>
          <t>S</t>
        </is>
      </c>
      <c r="Q2" s="6" t="inlineStr">
        <is>
          <t>closed</t>
        </is>
      </c>
      <c r="R2" s="7" t="n"/>
      <c r="S2" s="5" t="n"/>
      <c r="T2" s="5" t="n"/>
      <c r="U2" s="8" t="inlineStr">
        <is>
          <t>melody camps on 7 over I - non-chord tone</t>
        </is>
      </c>
    </row>
    <row r="3">
      <c r="A3" s="5" t="inlineStr">
        <is>
          <t>verse</t>
        </is>
      </c>
      <c r="B3" s="5" t="inlineStr">
        <is>
          <t>V1</t>
        </is>
      </c>
      <c r="C3" s="5" t="inlineStr">
        <is>
          <t>lead</t>
        </is>
      </c>
      <c r="D3" s="5" t="n">
        <v>1</v>
      </c>
      <c r="E3" s="5" t="n">
        <v>1.5</v>
      </c>
      <c r="F3" s="5" t="inlineStr">
        <is>
          <t>I</t>
        </is>
      </c>
      <c r="G3" s="5" t="inlineStr">
        <is>
          <t>D</t>
        </is>
      </c>
      <c r="H3" s="5" t="inlineStr">
        <is>
          <t>T</t>
        </is>
      </c>
      <c r="I3" s="5" t="inlineStr">
        <is>
          <t>7</t>
        </is>
      </c>
      <c r="J3" s="5" t="inlineStr">
        <is>
          <t>C#</t>
        </is>
      </c>
      <c r="K3" s="5" t="n">
        <v>11</v>
      </c>
      <c r="L3" s="5">
        <f>IF(OR(C3&lt;&gt;C2,K3="",K2=""),"",K3-K2)</f>
        <v/>
      </c>
      <c r="M3" s="5">
        <f>IF(L3="","",IF(L3=0,"repeat",IF(ABS(L3)&lt;=2,"step","leap")))</f>
        <v/>
      </c>
      <c r="N3" s="5">
        <f>IF(F3&lt;&gt;F2,"Y","")</f>
        <v/>
      </c>
      <c r="O3" s="6" t="inlineStr">
        <is>
          <t>N</t>
        </is>
      </c>
      <c r="P3" s="6" t="inlineStr">
        <is>
          <t>u</t>
        </is>
      </c>
      <c r="Q3" s="6" t="inlineStr">
        <is>
          <t>open</t>
        </is>
      </c>
      <c r="R3" s="7" t="n"/>
      <c r="S3" s="5" t="n"/>
      <c r="T3" s="5" t="n"/>
      <c r="U3" s="8" t="inlineStr"/>
    </row>
    <row r="4">
      <c r="A4" s="5" t="inlineStr">
        <is>
          <t>verse</t>
        </is>
      </c>
      <c r="B4" s="5" t="inlineStr">
        <is>
          <t>V1</t>
        </is>
      </c>
      <c r="C4" s="5" t="inlineStr">
        <is>
          <t>lead</t>
        </is>
      </c>
      <c r="D4" s="5" t="n">
        <v>1</v>
      </c>
      <c r="E4" s="5" t="n">
        <v>2</v>
      </c>
      <c r="F4" s="5" t="inlineStr">
        <is>
          <t>I</t>
        </is>
      </c>
      <c r="G4" s="5" t="inlineStr">
        <is>
          <t>D</t>
        </is>
      </c>
      <c r="H4" s="5" t="inlineStr">
        <is>
          <t>T</t>
        </is>
      </c>
      <c r="I4" s="5" t="inlineStr">
        <is>
          <t>7</t>
        </is>
      </c>
      <c r="J4" s="5" t="inlineStr">
        <is>
          <t>C#</t>
        </is>
      </c>
      <c r="K4" s="5" t="n">
        <v>11</v>
      </c>
      <c r="L4" s="5">
        <f>IF(OR(C4&lt;&gt;C3,K4="",K3=""),"",K4-K3)</f>
        <v/>
      </c>
      <c r="M4" s="5">
        <f>IF(L4="","",IF(L4=0,"repeat",IF(ABS(L4)&lt;=2,"step","leap")))</f>
        <v/>
      </c>
      <c r="N4" s="5">
        <f>IF(F4&lt;&gt;F3,"Y","")</f>
        <v/>
      </c>
      <c r="O4" s="6" t="inlineStr">
        <is>
          <t>N</t>
        </is>
      </c>
      <c r="P4" s="6" t="inlineStr">
        <is>
          <t>S</t>
        </is>
      </c>
      <c r="Q4" s="6" t="inlineStr">
        <is>
          <t>open</t>
        </is>
      </c>
      <c r="R4" s="7" t="n"/>
      <c r="S4" s="5" t="n"/>
      <c r="T4" s="5" t="n"/>
      <c r="U4" s="8" t="inlineStr"/>
    </row>
    <row r="5">
      <c r="A5" s="5" t="inlineStr">
        <is>
          <t>verse</t>
        </is>
      </c>
      <c r="B5" s="5" t="inlineStr">
        <is>
          <t>V1</t>
        </is>
      </c>
      <c r="C5" s="5" t="inlineStr">
        <is>
          <t>lead</t>
        </is>
      </c>
      <c r="D5" s="5" t="n">
        <v>1</v>
      </c>
      <c r="E5" s="5" t="n">
        <v>2.5</v>
      </c>
      <c r="F5" s="5" t="inlineStr">
        <is>
          <t>I</t>
        </is>
      </c>
      <c r="G5" s="5" t="inlineStr">
        <is>
          <t>D</t>
        </is>
      </c>
      <c r="H5" s="5" t="inlineStr">
        <is>
          <t>T</t>
        </is>
      </c>
      <c r="I5" s="5" t="inlineStr">
        <is>
          <t>7</t>
        </is>
      </c>
      <c r="J5" s="5" t="inlineStr">
        <is>
          <t>C#</t>
        </is>
      </c>
      <c r="K5" s="5" t="n">
        <v>11</v>
      </c>
      <c r="L5" s="5">
        <f>IF(OR(C5&lt;&gt;C4,K5="",K4=""),"",K5-K4)</f>
        <v/>
      </c>
      <c r="M5" s="5">
        <f>IF(L5="","",IF(L5=0,"repeat",IF(ABS(L5)&lt;=2,"step","leap")))</f>
        <v/>
      </c>
      <c r="N5" s="5">
        <f>IF(F5&lt;&gt;F4,"Y","")</f>
        <v/>
      </c>
      <c r="O5" s="6" t="inlineStr">
        <is>
          <t>N</t>
        </is>
      </c>
      <c r="P5" s="6" t="inlineStr">
        <is>
          <t>u</t>
        </is>
      </c>
      <c r="Q5" s="6" t="inlineStr">
        <is>
          <t>closed</t>
        </is>
      </c>
      <c r="R5" s="7" t="n"/>
      <c r="S5" s="5" t="n"/>
      <c r="T5" s="5" t="n"/>
      <c r="U5" s="8" t="inlineStr"/>
    </row>
    <row r="6">
      <c r="A6" s="5" t="inlineStr">
        <is>
          <t>verse</t>
        </is>
      </c>
      <c r="B6" s="5" t="inlineStr">
        <is>
          <t>V1</t>
        </is>
      </c>
      <c r="C6" s="5" t="inlineStr">
        <is>
          <t>lead</t>
        </is>
      </c>
      <c r="D6" s="5" t="n">
        <v>1</v>
      </c>
      <c r="E6" s="5" t="n">
        <v>3</v>
      </c>
      <c r="F6" s="5" t="inlineStr">
        <is>
          <t>vi</t>
        </is>
      </c>
      <c r="G6" s="5" t="inlineStr">
        <is>
          <t>Bm</t>
        </is>
      </c>
      <c r="H6" s="5" t="inlineStr">
        <is>
          <t>PD</t>
        </is>
      </c>
      <c r="I6" s="5" t="inlineStr">
        <is>
          <t>6</t>
        </is>
      </c>
      <c r="J6" s="5" t="inlineStr">
        <is>
          <t>B</t>
        </is>
      </c>
      <c r="K6" s="5" t="n">
        <v>9</v>
      </c>
      <c r="L6" s="5">
        <f>IF(OR(C6&lt;&gt;C5,K6="",K5=""),"",K6-K5)</f>
        <v/>
      </c>
      <c r="M6" s="5">
        <f>IF(L6="","",IF(L6=0,"repeat",IF(ABS(L6)&lt;=2,"step","leap")))</f>
        <v/>
      </c>
      <c r="N6" s="5">
        <f>IF(F6&lt;&gt;F5,"Y","")</f>
        <v/>
      </c>
      <c r="O6" s="6" t="inlineStr">
        <is>
          <t>Y</t>
        </is>
      </c>
      <c r="P6" s="6" t="inlineStr">
        <is>
          <t>S</t>
        </is>
      </c>
      <c r="Q6" s="6" t="inlineStr">
        <is>
          <t>open</t>
        </is>
      </c>
      <c r="R6" s="7" t="n"/>
      <c r="S6" s="5" t="n"/>
      <c r="T6" s="5" t="n"/>
      <c r="U6" s="8" t="inlineStr">
        <is>
          <t>chord change to vi: melody steps down to its root</t>
        </is>
      </c>
    </row>
    <row r="7">
      <c r="A7" s="5" t="inlineStr">
        <is>
          <t>verse</t>
        </is>
      </c>
      <c r="B7" s="5" t="inlineStr">
        <is>
          <t>V1</t>
        </is>
      </c>
      <c r="C7" s="5" t="inlineStr">
        <is>
          <t>lead</t>
        </is>
      </c>
      <c r="D7" s="5" t="n">
        <v>1</v>
      </c>
      <c r="E7" s="5" t="n">
        <v>3.5</v>
      </c>
      <c r="F7" s="5" t="inlineStr">
        <is>
          <t>vi</t>
        </is>
      </c>
      <c r="G7" s="5" t="inlineStr">
        <is>
          <t>Bm</t>
        </is>
      </c>
      <c r="H7" s="5" t="inlineStr">
        <is>
          <t>PD</t>
        </is>
      </c>
      <c r="I7" s="5" t="inlineStr">
        <is>
          <t>5</t>
        </is>
      </c>
      <c r="J7" s="5" t="inlineStr">
        <is>
          <t>A</t>
        </is>
      </c>
      <c r="K7" s="5" t="n">
        <v>7</v>
      </c>
      <c r="L7" s="5">
        <f>IF(OR(C7&lt;&gt;C6,K7="",K6=""),"",K7-K6)</f>
        <v/>
      </c>
      <c r="M7" s="5">
        <f>IF(L7="","",IF(L7=0,"repeat",IF(ABS(L7)&lt;=2,"step","leap")))</f>
        <v/>
      </c>
      <c r="N7" s="5">
        <f>IF(F7&lt;&gt;F6,"Y","")</f>
        <v/>
      </c>
      <c r="O7" s="6" t="inlineStr">
        <is>
          <t>N</t>
        </is>
      </c>
      <c r="P7" s="6" t="inlineStr">
        <is>
          <t>u</t>
        </is>
      </c>
      <c r="Q7" s="6" t="inlineStr">
        <is>
          <t>open</t>
        </is>
      </c>
      <c r="R7" s="7" t="n"/>
      <c r="S7" s="5" t="n"/>
      <c r="T7" s="5" t="n"/>
      <c r="U7" s="8" t="inlineStr"/>
    </row>
    <row r="8">
      <c r="A8" s="5" t="inlineStr">
        <is>
          <t>verse</t>
        </is>
      </c>
      <c r="B8" s="5" t="inlineStr">
        <is>
          <t>V1</t>
        </is>
      </c>
      <c r="C8" s="5" t="inlineStr">
        <is>
          <t>lead</t>
        </is>
      </c>
      <c r="D8" s="5" t="n">
        <v>1</v>
      </c>
      <c r="E8" s="5" t="n">
        <v>4</v>
      </c>
      <c r="F8" s="5" t="inlineStr">
        <is>
          <t>vi</t>
        </is>
      </c>
      <c r="G8" s="5" t="inlineStr">
        <is>
          <t>Bm</t>
        </is>
      </c>
      <c r="H8" s="5" t="inlineStr">
        <is>
          <t>PD</t>
        </is>
      </c>
      <c r="I8" s="5" t="inlineStr">
        <is>
          <t>5</t>
        </is>
      </c>
      <c r="J8" s="5" t="inlineStr">
        <is>
          <t>A</t>
        </is>
      </c>
      <c r="K8" s="5" t="n">
        <v>7</v>
      </c>
      <c r="L8" s="5">
        <f>IF(OR(C8&lt;&gt;C7,K8="",K7=""),"",K8-K7)</f>
        <v/>
      </c>
      <c r="M8" s="5">
        <f>IF(L8="","",IF(L8=0,"repeat",IF(ABS(L8)&lt;=2,"step","leap")))</f>
        <v/>
      </c>
      <c r="N8" s="5">
        <f>IF(F8&lt;&gt;F7,"Y","")</f>
        <v/>
      </c>
      <c r="O8" s="6" t="inlineStr">
        <is>
          <t>N</t>
        </is>
      </c>
      <c r="P8" s="6" t="inlineStr">
        <is>
          <t>S</t>
        </is>
      </c>
      <c r="Q8" s="6" t="inlineStr">
        <is>
          <t>closed</t>
        </is>
      </c>
      <c r="R8" s="7" t="n"/>
      <c r="S8" s="5" t="n"/>
      <c r="T8" s="5" t="n"/>
      <c r="U8" s="8" t="inlineStr"/>
    </row>
    <row r="9">
      <c r="A9" s="5" t="inlineStr">
        <is>
          <t>verse</t>
        </is>
      </c>
      <c r="B9" s="5" t="inlineStr">
        <is>
          <t>V1</t>
        </is>
      </c>
      <c r="C9" s="5" t="inlineStr">
        <is>
          <t>lead</t>
        </is>
      </c>
      <c r="D9" s="5" t="n">
        <v>1</v>
      </c>
      <c r="E9" s="5" t="n">
        <v>4.5</v>
      </c>
      <c r="F9" s="5" t="inlineStr">
        <is>
          <t>vi</t>
        </is>
      </c>
      <c r="G9" s="5" t="inlineStr">
        <is>
          <t>Bm</t>
        </is>
      </c>
      <c r="H9" s="5" t="inlineStr">
        <is>
          <t>PD</t>
        </is>
      </c>
      <c r="I9" s="5" t="inlineStr">
        <is>
          <t>6</t>
        </is>
      </c>
      <c r="J9" s="5" t="inlineStr">
        <is>
          <t>B</t>
        </is>
      </c>
      <c r="K9" s="5" t="n">
        <v>9</v>
      </c>
      <c r="L9" s="5">
        <f>IF(OR(C9&lt;&gt;C8,K9="",K8=""),"",K9-K8)</f>
        <v/>
      </c>
      <c r="M9" s="5">
        <f>IF(L9="","",IF(L9=0,"repeat",IF(ABS(L9)&lt;=2,"step","leap")))</f>
        <v/>
      </c>
      <c r="N9" s="5">
        <f>IF(F9&lt;&gt;F8,"Y","")</f>
        <v/>
      </c>
      <c r="O9" s="6" t="inlineStr">
        <is>
          <t>Y</t>
        </is>
      </c>
      <c r="P9" s="6" t="inlineStr">
        <is>
          <t>u</t>
        </is>
      </c>
      <c r="Q9" s="6" t="inlineStr">
        <is>
          <t>closed</t>
        </is>
      </c>
      <c r="R9" s="7" t="n"/>
      <c r="S9" s="5" t="n"/>
      <c r="T9" s="5" t="n"/>
      <c r="U9" s="8" t="inlineStr"/>
    </row>
    <row r="10">
      <c r="A10" s="5" t="inlineStr">
        <is>
          <t>verse</t>
        </is>
      </c>
      <c r="B10" s="5" t="inlineStr">
        <is>
          <t>V2</t>
        </is>
      </c>
      <c r="C10" s="5" t="inlineStr">
        <is>
          <t>lead</t>
        </is>
      </c>
      <c r="D10" s="5" t="n">
        <v>2</v>
      </c>
      <c r="E10" s="5" t="n">
        <v>1</v>
      </c>
      <c r="F10" s="5" t="inlineStr">
        <is>
          <t>iii</t>
        </is>
      </c>
      <c r="G10" s="5" t="inlineStr">
        <is>
          <t>F#m</t>
        </is>
      </c>
      <c r="H10" s="5" t="inlineStr">
        <is>
          <t>PD</t>
        </is>
      </c>
      <c r="I10" s="5" t="inlineStr">
        <is>
          <t>5</t>
        </is>
      </c>
      <c r="J10" s="5" t="inlineStr">
        <is>
          <t>A</t>
        </is>
      </c>
      <c r="K10" s="5" t="n">
        <v>7</v>
      </c>
      <c r="L10" s="5">
        <f>IF(OR(C10&lt;&gt;C9,K10="",K9=""),"",K10-K9)</f>
        <v/>
      </c>
      <c r="M10" s="5">
        <f>IF(L10="","",IF(L10=0,"repeat",IF(ABS(L10)&lt;=2,"step","leap")))</f>
        <v/>
      </c>
      <c r="N10" s="5">
        <f>IF(F10&lt;&gt;F9,"Y","")</f>
        <v/>
      </c>
      <c r="O10" s="6" t="inlineStr">
        <is>
          <t>Y</t>
        </is>
      </c>
      <c r="P10" s="6" t="inlineStr">
        <is>
          <t>S</t>
        </is>
      </c>
      <c r="Q10" s="6" t="inlineStr">
        <is>
          <t>open</t>
        </is>
      </c>
      <c r="R10" s="7" t="n"/>
      <c r="S10" s="5" t="n"/>
      <c r="T10" s="5" t="n"/>
      <c r="U10" s="8" t="inlineStr">
        <is>
          <t>chord change to iii: lands on its 3rd</t>
        </is>
      </c>
    </row>
    <row r="11">
      <c r="A11" s="5" t="inlineStr">
        <is>
          <t>verse</t>
        </is>
      </c>
      <c r="B11" s="5" t="inlineStr">
        <is>
          <t>V2</t>
        </is>
      </c>
      <c r="C11" s="5" t="inlineStr">
        <is>
          <t>lead</t>
        </is>
      </c>
      <c r="D11" s="5" t="n">
        <v>2</v>
      </c>
      <c r="E11" s="5" t="n">
        <v>1.5</v>
      </c>
      <c r="F11" s="5" t="inlineStr">
        <is>
          <t>iii</t>
        </is>
      </c>
      <c r="G11" s="5" t="inlineStr">
        <is>
          <t>F#m</t>
        </is>
      </c>
      <c r="H11" s="5" t="inlineStr">
        <is>
          <t>PD</t>
        </is>
      </c>
      <c r="I11" s="5" t="inlineStr">
        <is>
          <t>5</t>
        </is>
      </c>
      <c r="J11" s="5" t="inlineStr">
        <is>
          <t>A</t>
        </is>
      </c>
      <c r="K11" s="5" t="n">
        <v>7</v>
      </c>
      <c r="L11" s="5">
        <f>IF(OR(C11&lt;&gt;C10,K11="",K10=""),"",K11-K10)</f>
        <v/>
      </c>
      <c r="M11" s="5">
        <f>IF(L11="","",IF(L11=0,"repeat",IF(ABS(L11)&lt;=2,"step","leap")))</f>
        <v/>
      </c>
      <c r="N11" s="5">
        <f>IF(F11&lt;&gt;F10,"Y","")</f>
        <v/>
      </c>
      <c r="O11" s="6" t="inlineStr">
        <is>
          <t>Y</t>
        </is>
      </c>
      <c r="P11" s="6" t="inlineStr">
        <is>
          <t>S</t>
        </is>
      </c>
      <c r="Q11" s="6" t="inlineStr">
        <is>
          <t>closed</t>
        </is>
      </c>
      <c r="R11" s="7" t="n"/>
      <c r="S11" s="5" t="n"/>
      <c r="T11" s="5" t="n"/>
      <c r="U11" s="8" t="inlineStr"/>
    </row>
    <row r="12">
      <c r="A12" s="5" t="inlineStr">
        <is>
          <t>verse</t>
        </is>
      </c>
      <c r="B12" s="5" t="inlineStr">
        <is>
          <t>V2</t>
        </is>
      </c>
      <c r="C12" s="5" t="inlineStr">
        <is>
          <t>lead</t>
        </is>
      </c>
      <c r="D12" s="5" t="n">
        <v>2</v>
      </c>
      <c r="E12" s="5" t="n">
        <v>2</v>
      </c>
      <c r="F12" s="5" t="inlineStr">
        <is>
          <t>iii</t>
        </is>
      </c>
      <c r="G12" s="5" t="inlineStr">
        <is>
          <t>F#m</t>
        </is>
      </c>
      <c r="H12" s="5" t="inlineStr">
        <is>
          <t>PD</t>
        </is>
      </c>
      <c r="I12" s="5" t="inlineStr">
        <is>
          <t>3</t>
        </is>
      </c>
      <c r="J12" s="5" t="inlineStr">
        <is>
          <t>F#</t>
        </is>
      </c>
      <c r="K12" s="5" t="n">
        <v>4</v>
      </c>
      <c r="L12" s="5">
        <f>IF(OR(C12&lt;&gt;C11,K12="",K11=""),"",K12-K11)</f>
        <v/>
      </c>
      <c r="M12" s="5">
        <f>IF(L12="","",IF(L12=0,"repeat",IF(ABS(L12)&lt;=2,"step","leap")))</f>
        <v/>
      </c>
      <c r="N12" s="5">
        <f>IF(F12&lt;&gt;F11,"Y","")</f>
        <v/>
      </c>
      <c r="O12" s="6" t="inlineStr">
        <is>
          <t>Y</t>
        </is>
      </c>
      <c r="P12" s="6" t="inlineStr">
        <is>
          <t>u</t>
        </is>
      </c>
      <c r="Q12" s="6" t="inlineStr">
        <is>
          <t>open</t>
        </is>
      </c>
      <c r="R12" s="7" t="n"/>
      <c r="S12" s="5" t="n"/>
      <c r="T12" s="5" t="n"/>
      <c r="U12" s="8" t="inlineStr"/>
    </row>
    <row r="13">
      <c r="A13" s="5" t="inlineStr">
        <is>
          <t>verse</t>
        </is>
      </c>
      <c r="B13" s="5" t="inlineStr">
        <is>
          <t>V2</t>
        </is>
      </c>
      <c r="C13" s="5" t="inlineStr">
        <is>
          <t>lead</t>
        </is>
      </c>
      <c r="D13" s="5" t="n">
        <v>2</v>
      </c>
      <c r="E13" s="5" t="n">
        <v>2.5</v>
      </c>
      <c r="F13" s="5" t="inlineStr">
        <is>
          <t>iii</t>
        </is>
      </c>
      <c r="G13" s="5" t="inlineStr">
        <is>
          <t>F#m</t>
        </is>
      </c>
      <c r="H13" s="5" t="inlineStr">
        <is>
          <t>PD</t>
        </is>
      </c>
      <c r="I13" s="5" t="inlineStr">
        <is>
          <t>5</t>
        </is>
      </c>
      <c r="J13" s="5" t="inlineStr">
        <is>
          <t>A</t>
        </is>
      </c>
      <c r="K13" s="5" t="n">
        <v>7</v>
      </c>
      <c r="L13" s="5">
        <f>IF(OR(C13&lt;&gt;C12,K13="",K12=""),"",K13-K12)</f>
        <v/>
      </c>
      <c r="M13" s="5">
        <f>IF(L13="","",IF(L13=0,"repeat",IF(ABS(L13)&lt;=2,"step","leap")))</f>
        <v/>
      </c>
      <c r="N13" s="5">
        <f>IF(F13&lt;&gt;F12,"Y","")</f>
        <v/>
      </c>
      <c r="O13" s="6" t="inlineStr">
        <is>
          <t>Y</t>
        </is>
      </c>
      <c r="P13" s="6" t="inlineStr">
        <is>
          <t>u</t>
        </is>
      </c>
      <c r="Q13" s="6" t="inlineStr">
        <is>
          <t>open</t>
        </is>
      </c>
      <c r="R13" s="7" t="n"/>
      <c r="S13" s="5" t="n"/>
      <c r="T13" s="5" t="n"/>
      <c r="U13" s="8" t="inlineStr"/>
    </row>
    <row r="14">
      <c r="A14" s="5" t="inlineStr">
        <is>
          <t>verse</t>
        </is>
      </c>
      <c r="B14" s="5" t="inlineStr">
        <is>
          <t>V2</t>
        </is>
      </c>
      <c r="C14" s="5" t="inlineStr">
        <is>
          <t>lead</t>
        </is>
      </c>
      <c r="D14" s="5" t="n">
        <v>2</v>
      </c>
      <c r="E14" s="5" t="n">
        <v>3</v>
      </c>
      <c r="F14" s="5" t="inlineStr">
        <is>
          <t>iii</t>
        </is>
      </c>
      <c r="G14" s="5" t="inlineStr">
        <is>
          <t>F#m</t>
        </is>
      </c>
      <c r="H14" s="5" t="inlineStr">
        <is>
          <t>PD</t>
        </is>
      </c>
      <c r="I14" s="5" t="inlineStr">
        <is>
          <t>6</t>
        </is>
      </c>
      <c r="J14" s="5" t="inlineStr">
        <is>
          <t>B</t>
        </is>
      </c>
      <c r="K14" s="5" t="n">
        <v>9</v>
      </c>
      <c r="L14" s="5">
        <f>IF(OR(C14&lt;&gt;C13,K14="",K13=""),"",K14-K13)</f>
        <v/>
      </c>
      <c r="M14" s="5">
        <f>IF(L14="","",IF(L14=0,"repeat",IF(ABS(L14)&lt;=2,"step","leap")))</f>
        <v/>
      </c>
      <c r="N14" s="5">
        <f>IF(F14&lt;&gt;F13,"Y","")</f>
        <v/>
      </c>
      <c r="O14" s="6" t="inlineStr">
        <is>
          <t>N</t>
        </is>
      </c>
      <c r="P14" s="6" t="inlineStr">
        <is>
          <t>S</t>
        </is>
      </c>
      <c r="Q14" s="6" t="inlineStr">
        <is>
          <t>open</t>
        </is>
      </c>
      <c r="R14" s="7" t="n"/>
      <c r="S14" s="5" t="n"/>
      <c r="T14" s="5" t="n"/>
      <c r="U14" s="8" t="inlineStr"/>
    </row>
    <row r="15">
      <c r="A15" s="5" t="inlineStr">
        <is>
          <t>verse</t>
        </is>
      </c>
      <c r="B15" s="5" t="inlineStr">
        <is>
          <t>V2</t>
        </is>
      </c>
      <c r="C15" s="5" t="inlineStr">
        <is>
          <t>lead</t>
        </is>
      </c>
      <c r="D15" s="5" t="n">
        <v>2</v>
      </c>
      <c r="E15" s="5" t="n">
        <v>3.5</v>
      </c>
      <c r="F15" s="5" t="inlineStr">
        <is>
          <t>iii</t>
        </is>
      </c>
      <c r="G15" s="5" t="inlineStr">
        <is>
          <t>F#m</t>
        </is>
      </c>
      <c r="H15" s="5" t="inlineStr">
        <is>
          <t>PD</t>
        </is>
      </c>
      <c r="I15" s="5" t="inlineStr">
        <is>
          <t>6</t>
        </is>
      </c>
      <c r="J15" s="5" t="inlineStr">
        <is>
          <t>B</t>
        </is>
      </c>
      <c r="K15" s="5" t="n">
        <v>9</v>
      </c>
      <c r="L15" s="5">
        <f>IF(OR(C15&lt;&gt;C14,K15="",K14=""),"",K15-K14)</f>
        <v/>
      </c>
      <c r="M15" s="5">
        <f>IF(L15="","",IF(L15=0,"repeat",IF(ABS(L15)&lt;=2,"step","leap")))</f>
        <v/>
      </c>
      <c r="N15" s="5">
        <f>IF(F15&lt;&gt;F14,"Y","")</f>
        <v/>
      </c>
      <c r="O15" s="6" t="inlineStr">
        <is>
          <t>N</t>
        </is>
      </c>
      <c r="P15" s="6" t="inlineStr">
        <is>
          <t>u</t>
        </is>
      </c>
      <c r="Q15" s="6" t="inlineStr">
        <is>
          <t>closed</t>
        </is>
      </c>
      <c r="R15" s="7" t="n"/>
      <c r="S15" s="5" t="n"/>
      <c r="T15" s="5" t="n"/>
      <c r="U15" s="8" t="inlineStr"/>
    </row>
    <row r="16">
      <c r="A16" s="5" t="inlineStr">
        <is>
          <t>verse</t>
        </is>
      </c>
      <c r="B16" s="5" t="inlineStr">
        <is>
          <t>V2</t>
        </is>
      </c>
      <c r="C16" s="5" t="inlineStr">
        <is>
          <t>lead</t>
        </is>
      </c>
      <c r="D16" s="5" t="n">
        <v>2</v>
      </c>
      <c r="E16" s="5" t="n">
        <v>4</v>
      </c>
      <c r="F16" s="5" t="inlineStr">
        <is>
          <t>iii</t>
        </is>
      </c>
      <c r="G16" s="5" t="inlineStr">
        <is>
          <t>F#m</t>
        </is>
      </c>
      <c r="H16" s="5" t="inlineStr">
        <is>
          <t>PD</t>
        </is>
      </c>
      <c r="I16" s="5" t="inlineStr">
        <is>
          <t>5</t>
        </is>
      </c>
      <c r="J16" s="5" t="inlineStr">
        <is>
          <t>A</t>
        </is>
      </c>
      <c r="K16" s="5" t="n">
        <v>7</v>
      </c>
      <c r="L16" s="5">
        <f>IF(OR(C16&lt;&gt;C15,K16="",K15=""),"",K16-K15)</f>
        <v/>
      </c>
      <c r="M16" s="5">
        <f>IF(L16="","",IF(L16=0,"repeat",IF(ABS(L16)&lt;=2,"step","leap")))</f>
        <v/>
      </c>
      <c r="N16" s="5">
        <f>IF(F16&lt;&gt;F15,"Y","")</f>
        <v/>
      </c>
      <c r="O16" s="6" t="inlineStr">
        <is>
          <t>Y</t>
        </is>
      </c>
      <c r="P16" s="6" t="inlineStr">
        <is>
          <t>S</t>
        </is>
      </c>
      <c r="Q16" s="6" t="inlineStr">
        <is>
          <t>closed</t>
        </is>
      </c>
      <c r="R16" s="7" t="n"/>
      <c r="S16" s="5" t="n"/>
      <c r="T16" s="5" t="n"/>
      <c r="U16" s="8" t="inlineStr">
        <is>
          <t>eighth rest follows</t>
        </is>
      </c>
    </row>
    <row r="17">
      <c r="A17" s="5" t="inlineStr">
        <is>
          <t>verse</t>
        </is>
      </c>
      <c r="B17" s="5" t="inlineStr">
        <is>
          <t>V2</t>
        </is>
      </c>
      <c r="C17" s="5" t="inlineStr">
        <is>
          <t>lead</t>
        </is>
      </c>
      <c r="D17" s="5" t="n">
        <v>2</v>
      </c>
      <c r="E17" s="5" t="n">
        <v>4.75</v>
      </c>
      <c r="F17" s="5" t="inlineStr">
        <is>
          <t>iii</t>
        </is>
      </c>
      <c r="G17" s="5" t="inlineStr">
        <is>
          <t>F#m</t>
        </is>
      </c>
      <c r="H17" s="5" t="inlineStr">
        <is>
          <t>PD</t>
        </is>
      </c>
      <c r="I17" s="5" t="inlineStr">
        <is>
          <t>5</t>
        </is>
      </c>
      <c r="J17" s="5" t="inlineStr">
        <is>
          <t>A</t>
        </is>
      </c>
      <c r="K17" s="5" t="n">
        <v>7</v>
      </c>
      <c r="L17" s="5">
        <f>IF(OR(C17&lt;&gt;C16,K17="",K16=""),"",K17-K16)</f>
        <v/>
      </c>
      <c r="M17" s="5">
        <f>IF(L17="","",IF(L17=0,"repeat",IF(ABS(L17)&lt;=2,"step","leap")))</f>
        <v/>
      </c>
      <c r="N17" s="5">
        <f>IF(F17&lt;&gt;F16,"Y","")</f>
        <v/>
      </c>
      <c r="O17" s="6" t="inlineStr">
        <is>
          <t>Y</t>
        </is>
      </c>
      <c r="P17" s="6" t="inlineStr">
        <is>
          <t>u</t>
        </is>
      </c>
      <c r="Q17" s="6" t="inlineStr">
        <is>
          <t>open</t>
        </is>
      </c>
      <c r="R17" s="7" t="n"/>
      <c r="S17" s="5" t="n"/>
      <c r="T17" s="5" t="n"/>
      <c r="U17" s="8" t="inlineStr">
        <is>
          <t>pickup into next phrase (back-heavy)</t>
        </is>
      </c>
    </row>
    <row r="18">
      <c r="A18" s="5" t="inlineStr">
        <is>
          <t>verse</t>
        </is>
      </c>
      <c r="B18" s="5" t="inlineStr">
        <is>
          <t>V3</t>
        </is>
      </c>
      <c r="C18" s="5" t="inlineStr">
        <is>
          <t>lead</t>
        </is>
      </c>
      <c r="D18" s="5" t="n">
        <v>3</v>
      </c>
      <c r="E18" s="5" t="n">
        <v>1</v>
      </c>
      <c r="F18" s="5" t="inlineStr">
        <is>
          <t>ii7</t>
        </is>
      </c>
      <c r="G18" s="5" t="inlineStr">
        <is>
          <t>Em7</t>
        </is>
      </c>
      <c r="H18" s="5" t="inlineStr">
        <is>
          <t>PD</t>
        </is>
      </c>
      <c r="I18" s="5" t="inlineStr">
        <is>
          <t>5</t>
        </is>
      </c>
      <c r="J18" s="5" t="inlineStr">
        <is>
          <t>A</t>
        </is>
      </c>
      <c r="K18" s="5" t="n">
        <v>7</v>
      </c>
      <c r="L18" s="5">
        <f>IF(OR(C18&lt;&gt;C17,K18="",K17=""),"",K18-K17)</f>
        <v/>
      </c>
      <c r="M18" s="5">
        <f>IF(L18="","",IF(L18=0,"repeat",IF(ABS(L18)&lt;=2,"step","leap")))</f>
        <v/>
      </c>
      <c r="N18" s="5">
        <f>IF(F18&lt;&gt;F17,"Y","")</f>
        <v/>
      </c>
      <c r="O18" s="6" t="inlineStr">
        <is>
          <t>N</t>
        </is>
      </c>
      <c r="P18" s="6" t="inlineStr">
        <is>
          <t>S</t>
        </is>
      </c>
      <c r="Q18" s="6" t="inlineStr">
        <is>
          <t>closed</t>
        </is>
      </c>
      <c r="R18" s="7" t="n"/>
      <c r="S18" s="5" t="n"/>
      <c r="T18" s="5" t="n"/>
      <c r="U18" s="8" t="inlineStr">
        <is>
          <t>chord change to ii7: sighing 2-note slurs begin</t>
        </is>
      </c>
    </row>
    <row r="19">
      <c r="A19" s="5" t="inlineStr">
        <is>
          <t>verse</t>
        </is>
      </c>
      <c r="B19" s="5" t="inlineStr">
        <is>
          <t>V3</t>
        </is>
      </c>
      <c r="C19" s="5" t="inlineStr">
        <is>
          <t>lead</t>
        </is>
      </c>
      <c r="D19" s="5" t="n">
        <v>3</v>
      </c>
      <c r="E19" s="5" t="n">
        <v>1.5</v>
      </c>
      <c r="F19" s="5" t="inlineStr">
        <is>
          <t>ii7</t>
        </is>
      </c>
      <c r="G19" s="5" t="inlineStr">
        <is>
          <t>Em7</t>
        </is>
      </c>
      <c r="H19" s="5" t="inlineStr">
        <is>
          <t>PD</t>
        </is>
      </c>
      <c r="I19" s="5" t="inlineStr">
        <is>
          <t>4</t>
        </is>
      </c>
      <c r="J19" s="5" t="inlineStr">
        <is>
          <t>G</t>
        </is>
      </c>
      <c r="K19" s="5" t="n">
        <v>5</v>
      </c>
      <c r="L19" s="5">
        <f>IF(OR(C19&lt;&gt;C18,K19="",K18=""),"",K19-K18)</f>
        <v/>
      </c>
      <c r="M19" s="5">
        <f>IF(L19="","",IF(L19=0,"repeat",IF(ABS(L19)&lt;=2,"step","leap")))</f>
        <v/>
      </c>
      <c r="N19" s="5">
        <f>IF(F19&lt;&gt;F18,"Y","")</f>
        <v/>
      </c>
      <c r="O19" s="6" t="inlineStr">
        <is>
          <t>Y</t>
        </is>
      </c>
      <c r="P19" s="6" t="inlineStr">
        <is>
          <t>u</t>
        </is>
      </c>
      <c r="Q19" s="6" t="inlineStr">
        <is>
          <t>open</t>
        </is>
      </c>
      <c r="R19" s="7" t="n"/>
      <c r="S19" s="5" t="n"/>
      <c r="T19" s="5" t="n"/>
      <c r="U19" s="8" t="inlineStr">
        <is>
          <t>slur</t>
        </is>
      </c>
    </row>
    <row r="20">
      <c r="A20" s="5" t="inlineStr">
        <is>
          <t>verse</t>
        </is>
      </c>
      <c r="B20" s="5" t="inlineStr">
        <is>
          <t>V3</t>
        </is>
      </c>
      <c r="C20" s="5" t="inlineStr">
        <is>
          <t>lead</t>
        </is>
      </c>
      <c r="D20" s="5" t="n">
        <v>3</v>
      </c>
      <c r="E20" s="5" t="n">
        <v>2</v>
      </c>
      <c r="F20" s="5" t="inlineStr">
        <is>
          <t>ii7</t>
        </is>
      </c>
      <c r="G20" s="5" t="inlineStr">
        <is>
          <t>Em7</t>
        </is>
      </c>
      <c r="H20" s="5" t="inlineStr">
        <is>
          <t>PD</t>
        </is>
      </c>
      <c r="I20" s="5" t="inlineStr">
        <is>
          <t>5</t>
        </is>
      </c>
      <c r="J20" s="5" t="inlineStr">
        <is>
          <t>A</t>
        </is>
      </c>
      <c r="K20" s="5" t="n">
        <v>7</v>
      </c>
      <c r="L20" s="5">
        <f>IF(OR(C20&lt;&gt;C19,K20="",K19=""),"",K20-K19)</f>
        <v/>
      </c>
      <c r="M20" s="5">
        <f>IF(L20="","",IF(L20=0,"repeat",IF(ABS(L20)&lt;=2,"step","leap")))</f>
        <v/>
      </c>
      <c r="N20" s="5">
        <f>IF(F20&lt;&gt;F19,"Y","")</f>
        <v/>
      </c>
      <c r="O20" s="6" t="inlineStr">
        <is>
          <t>N</t>
        </is>
      </c>
      <c r="P20" s="6" t="inlineStr">
        <is>
          <t>S</t>
        </is>
      </c>
      <c r="Q20" s="6" t="inlineStr">
        <is>
          <t>open</t>
        </is>
      </c>
      <c r="R20" s="7" t="n"/>
      <c r="S20" s="5" t="n"/>
      <c r="T20" s="5" t="n"/>
      <c r="U20" s="8" t="inlineStr"/>
    </row>
    <row r="21">
      <c r="A21" s="5" t="inlineStr">
        <is>
          <t>verse</t>
        </is>
      </c>
      <c r="B21" s="5" t="inlineStr">
        <is>
          <t>V3</t>
        </is>
      </c>
      <c r="C21" s="5" t="inlineStr">
        <is>
          <t>lead</t>
        </is>
      </c>
      <c r="D21" s="5" t="n">
        <v>3</v>
      </c>
      <c r="E21" s="5" t="n">
        <v>2.5</v>
      </c>
      <c r="F21" s="5" t="inlineStr">
        <is>
          <t>ii7</t>
        </is>
      </c>
      <c r="G21" s="5" t="inlineStr">
        <is>
          <t>Em7</t>
        </is>
      </c>
      <c r="H21" s="5" t="inlineStr">
        <is>
          <t>PD</t>
        </is>
      </c>
      <c r="I21" s="5" t="inlineStr">
        <is>
          <t>4</t>
        </is>
      </c>
      <c r="J21" s="5" t="inlineStr">
        <is>
          <t>G</t>
        </is>
      </c>
      <c r="K21" s="5" t="n">
        <v>5</v>
      </c>
      <c r="L21" s="5">
        <f>IF(OR(C21&lt;&gt;C20,K21="",K20=""),"",K21-K20)</f>
        <v/>
      </c>
      <c r="M21" s="5">
        <f>IF(L21="","",IF(L21=0,"repeat",IF(ABS(L21)&lt;=2,"step","leap")))</f>
        <v/>
      </c>
      <c r="N21" s="5">
        <f>IF(F21&lt;&gt;F20,"Y","")</f>
        <v/>
      </c>
      <c r="O21" s="6" t="inlineStr">
        <is>
          <t>Y</t>
        </is>
      </c>
      <c r="P21" s="6" t="inlineStr">
        <is>
          <t>u</t>
        </is>
      </c>
      <c r="Q21" s="6" t="inlineStr">
        <is>
          <t>open</t>
        </is>
      </c>
      <c r="R21" s="7" t="n"/>
      <c r="S21" s="5" t="n"/>
      <c r="T21" s="5" t="n"/>
      <c r="U21" s="8" t="inlineStr">
        <is>
          <t>slur</t>
        </is>
      </c>
    </row>
    <row r="22">
      <c r="A22" s="5" t="inlineStr">
        <is>
          <t>verse</t>
        </is>
      </c>
      <c r="B22" s="5" t="inlineStr">
        <is>
          <t>V3</t>
        </is>
      </c>
      <c r="C22" s="5" t="inlineStr">
        <is>
          <t>lead</t>
        </is>
      </c>
      <c r="D22" s="5" t="n">
        <v>3</v>
      </c>
      <c r="E22" s="5" t="n">
        <v>3</v>
      </c>
      <c r="F22" s="5" t="inlineStr">
        <is>
          <t>ii7</t>
        </is>
      </c>
      <c r="G22" s="5" t="inlineStr">
        <is>
          <t>Em7</t>
        </is>
      </c>
      <c r="H22" s="5" t="inlineStr">
        <is>
          <t>PD</t>
        </is>
      </c>
      <c r="I22" s="5" t="inlineStr">
        <is>
          <t>3</t>
        </is>
      </c>
      <c r="J22" s="5" t="inlineStr">
        <is>
          <t>F#</t>
        </is>
      </c>
      <c r="K22" s="5" t="n">
        <v>4</v>
      </c>
      <c r="L22" s="5">
        <f>IF(OR(C22&lt;&gt;C21,K22="",K21=""),"",K22-K21)</f>
        <v/>
      </c>
      <c r="M22" s="5">
        <f>IF(L22="","",IF(L22=0,"repeat",IF(ABS(L22)&lt;=2,"step","leap")))</f>
        <v/>
      </c>
      <c r="N22" s="5">
        <f>IF(F22&lt;&gt;F21,"Y","")</f>
        <v/>
      </c>
      <c r="O22" s="6" t="inlineStr">
        <is>
          <t>N</t>
        </is>
      </c>
      <c r="P22" s="6" t="inlineStr">
        <is>
          <t>S</t>
        </is>
      </c>
      <c r="Q22" s="6" t="inlineStr">
        <is>
          <t>open</t>
        </is>
      </c>
      <c r="R22" s="7" t="n"/>
      <c r="S22" s="5" t="n"/>
      <c r="T22" s="5" t="n"/>
      <c r="U22" s="8" t="inlineStr"/>
    </row>
    <row r="23">
      <c r="A23" s="5" t="inlineStr">
        <is>
          <t>verse</t>
        </is>
      </c>
      <c r="B23" s="5" t="inlineStr">
        <is>
          <t>V3</t>
        </is>
      </c>
      <c r="C23" s="5" t="inlineStr">
        <is>
          <t>lead</t>
        </is>
      </c>
      <c r="D23" s="5" t="n">
        <v>3</v>
      </c>
      <c r="E23" s="5" t="n">
        <v>3.5</v>
      </c>
      <c r="F23" s="5" t="inlineStr">
        <is>
          <t>ii7</t>
        </is>
      </c>
      <c r="G23" s="5" t="inlineStr">
        <is>
          <t>Em7</t>
        </is>
      </c>
      <c r="H23" s="5" t="inlineStr">
        <is>
          <t>PD</t>
        </is>
      </c>
      <c r="I23" s="5" t="inlineStr">
        <is>
          <t>4</t>
        </is>
      </c>
      <c r="J23" s="5" t="inlineStr">
        <is>
          <t>G</t>
        </is>
      </c>
      <c r="K23" s="5" t="n">
        <v>5</v>
      </c>
      <c r="L23" s="5">
        <f>IF(OR(C23&lt;&gt;C22,K23="",K22=""),"",K23-K22)</f>
        <v/>
      </c>
      <c r="M23" s="5">
        <f>IF(L23="","",IF(L23=0,"repeat",IF(ABS(L23)&lt;=2,"step","leap")))</f>
        <v/>
      </c>
      <c r="N23" s="5">
        <f>IF(F23&lt;&gt;F22,"Y","")</f>
        <v/>
      </c>
      <c r="O23" s="6" t="inlineStr">
        <is>
          <t>Y</t>
        </is>
      </c>
      <c r="P23" s="6" t="inlineStr">
        <is>
          <t>u</t>
        </is>
      </c>
      <c r="Q23" s="6" t="inlineStr">
        <is>
          <t>open</t>
        </is>
      </c>
      <c r="R23" s="7" t="n"/>
      <c r="S23" s="5" t="n"/>
      <c r="T23" s="5" t="n"/>
      <c r="U23" s="8" t="inlineStr">
        <is>
          <t>slur</t>
        </is>
      </c>
    </row>
    <row r="24">
      <c r="A24" s="5" t="inlineStr">
        <is>
          <t>verse</t>
        </is>
      </c>
      <c r="B24" s="5" t="inlineStr">
        <is>
          <t>V3</t>
        </is>
      </c>
      <c r="C24" s="5" t="inlineStr">
        <is>
          <t>lead</t>
        </is>
      </c>
      <c r="D24" s="5" t="n">
        <v>3</v>
      </c>
      <c r="E24" s="5" t="n">
        <v>4</v>
      </c>
      <c r="F24" s="5" t="inlineStr">
        <is>
          <t>ii7</t>
        </is>
      </c>
      <c r="G24" s="5" t="inlineStr">
        <is>
          <t>Em7</t>
        </is>
      </c>
      <c r="H24" s="5" t="inlineStr">
        <is>
          <t>PD</t>
        </is>
      </c>
      <c r="I24" s="5" t="inlineStr">
        <is>
          <t>5</t>
        </is>
      </c>
      <c r="J24" s="5" t="inlineStr">
        <is>
          <t>A</t>
        </is>
      </c>
      <c r="K24" s="5" t="n">
        <v>7</v>
      </c>
      <c r="L24" s="5">
        <f>IF(OR(C24&lt;&gt;C23,K24="",K23=""),"",K24-K23)</f>
        <v/>
      </c>
      <c r="M24" s="5">
        <f>IF(L24="","",IF(L24=0,"repeat",IF(ABS(L24)&lt;=2,"step","leap")))</f>
        <v/>
      </c>
      <c r="N24" s="5">
        <f>IF(F24&lt;&gt;F23,"Y","")</f>
        <v/>
      </c>
      <c r="O24" s="6" t="inlineStr">
        <is>
          <t>N</t>
        </is>
      </c>
      <c r="P24" s="6" t="inlineStr">
        <is>
          <t>S</t>
        </is>
      </c>
      <c r="Q24" s="6" t="inlineStr">
        <is>
          <t>closed</t>
        </is>
      </c>
      <c r="R24" s="7" t="n"/>
      <c r="S24" s="5" t="n"/>
      <c r="T24" s="5" t="n"/>
      <c r="U24" s="8" t="inlineStr"/>
    </row>
    <row r="25">
      <c r="A25" s="5" t="inlineStr">
        <is>
          <t>verse</t>
        </is>
      </c>
      <c r="B25" s="5" t="inlineStr">
        <is>
          <t>V3</t>
        </is>
      </c>
      <c r="C25" s="5" t="inlineStr">
        <is>
          <t>lead</t>
        </is>
      </c>
      <c r="D25" s="5" t="n">
        <v>3</v>
      </c>
      <c r="E25" s="5" t="n">
        <v>4.5</v>
      </c>
      <c r="F25" s="5" t="inlineStr">
        <is>
          <t>ii7</t>
        </is>
      </c>
      <c r="G25" s="5" t="inlineStr">
        <is>
          <t>Em7</t>
        </is>
      </c>
      <c r="H25" s="5" t="inlineStr">
        <is>
          <t>PD</t>
        </is>
      </c>
      <c r="I25" s="5" t="inlineStr">
        <is>
          <t>4</t>
        </is>
      </c>
      <c r="J25" s="5" t="inlineStr">
        <is>
          <t>G</t>
        </is>
      </c>
      <c r="K25" s="5" t="n">
        <v>5</v>
      </c>
      <c r="L25" s="5">
        <f>IF(OR(C25&lt;&gt;C24,K25="",K24=""),"",K25-K24)</f>
        <v/>
      </c>
      <c r="M25" s="5">
        <f>IF(L25="","",IF(L25=0,"repeat",IF(ABS(L25)&lt;=2,"step","leap")))</f>
        <v/>
      </c>
      <c r="N25" s="5">
        <f>IF(F25&lt;&gt;F24,"Y","")</f>
        <v/>
      </c>
      <c r="O25" s="6" t="inlineStr">
        <is>
          <t>Y</t>
        </is>
      </c>
      <c r="P25" s="6" t="inlineStr">
        <is>
          <t>u</t>
        </is>
      </c>
      <c r="Q25" s="6" t="inlineStr">
        <is>
          <t>open</t>
        </is>
      </c>
      <c r="R25" s="7" t="n"/>
      <c r="S25" s="5" t="n"/>
      <c r="T25" s="5" t="n"/>
      <c r="U25" s="8" t="inlineStr">
        <is>
          <t>slur</t>
        </is>
      </c>
    </row>
    <row r="26">
      <c r="A26" s="5" t="inlineStr">
        <is>
          <t>verse</t>
        </is>
      </c>
      <c r="B26" s="5" t="inlineStr">
        <is>
          <t>V3</t>
        </is>
      </c>
      <c r="C26" s="5" t="inlineStr">
        <is>
          <t>lead</t>
        </is>
      </c>
      <c r="D26" s="5" t="n">
        <v>3</v>
      </c>
      <c r="E26" s="5" t="n">
        <v>4.75</v>
      </c>
      <c r="F26" s="5" t="inlineStr">
        <is>
          <t>ii7</t>
        </is>
      </c>
      <c r="G26" s="5" t="inlineStr">
        <is>
          <t>Em7</t>
        </is>
      </c>
      <c r="H26" s="5" t="inlineStr">
        <is>
          <t>PD</t>
        </is>
      </c>
      <c r="I26" s="5" t="inlineStr">
        <is>
          <t>3</t>
        </is>
      </c>
      <c r="J26" s="5" t="inlineStr">
        <is>
          <t>F#</t>
        </is>
      </c>
      <c r="K26" s="5" t="n">
        <v>4</v>
      </c>
      <c r="L26" s="5">
        <f>IF(OR(C26&lt;&gt;C25,K26="",K25=""),"",K26-K25)</f>
        <v/>
      </c>
      <c r="M26" s="5">
        <f>IF(L26="","",IF(L26=0,"repeat",IF(ABS(L26)&lt;=2,"step","leap")))</f>
        <v/>
      </c>
      <c r="N26" s="5">
        <f>IF(F26&lt;&gt;F25,"Y","")</f>
        <v/>
      </c>
      <c r="O26" s="6" t="inlineStr">
        <is>
          <t>N</t>
        </is>
      </c>
      <c r="P26" s="6" t="inlineStr">
        <is>
          <t>S</t>
        </is>
      </c>
      <c r="Q26" s="6" t="inlineStr">
        <is>
          <t>open</t>
        </is>
      </c>
      <c r="R26" s="7" t="n"/>
      <c r="S26" s="5" t="n"/>
      <c r="T26" s="5" t="n"/>
      <c r="U26" s="8" t="inlineStr">
        <is>
          <t>held into bar 4</t>
        </is>
      </c>
    </row>
    <row r="27">
      <c r="A27" s="5" t="inlineStr">
        <is>
          <t>verse</t>
        </is>
      </c>
      <c r="B27" s="5" t="inlineStr">
        <is>
          <t>V4 cadence</t>
        </is>
      </c>
      <c r="C27" s="5" t="inlineStr">
        <is>
          <t>lead</t>
        </is>
      </c>
      <c r="D27" s="5" t="n">
        <v>4</v>
      </c>
      <c r="E27" s="5" t="n">
        <v>1</v>
      </c>
      <c r="F27" s="5" t="inlineStr">
        <is>
          <t>V7</t>
        </is>
      </c>
      <c r="G27" s="5" t="inlineStr">
        <is>
          <t>A7</t>
        </is>
      </c>
      <c r="H27" s="5" t="inlineStr">
        <is>
          <t>D</t>
        </is>
      </c>
      <c r="I27" s="5" t="inlineStr">
        <is>
          <t>3</t>
        </is>
      </c>
      <c r="J27" s="5" t="inlineStr">
        <is>
          <t>F#</t>
        </is>
      </c>
      <c r="K27" s="5" t="n">
        <v>4</v>
      </c>
      <c r="L27" s="5">
        <f>IF(OR(C27&lt;&gt;C26,K27="",K26=""),"",K27-K26)</f>
        <v/>
      </c>
      <c r="M27" s="5">
        <f>IF(L27="","",IF(L27=0,"repeat",IF(ABS(L27)&lt;=2,"step","leap")))</f>
        <v/>
      </c>
      <c r="N27" s="5">
        <f>IF(F27&lt;&gt;F26,"Y","")</f>
        <v/>
      </c>
      <c r="O27" s="6" t="inlineStr">
        <is>
          <t>N</t>
        </is>
      </c>
      <c r="P27" s="6" t="inlineStr">
        <is>
          <t>u</t>
        </is>
      </c>
      <c r="Q27" s="6" t="inlineStr">
        <is>
          <t>open</t>
        </is>
      </c>
      <c r="R27" s="7" t="n"/>
      <c r="S27" s="5" t="n"/>
      <c r="T27" s="5" t="n"/>
      <c r="U27" s="8" t="inlineStr">
        <is>
          <t>5/4 bar; chord change to V7</t>
        </is>
      </c>
    </row>
    <row r="28">
      <c r="A28" s="5" t="inlineStr">
        <is>
          <t>verse</t>
        </is>
      </c>
      <c r="B28" s="5" t="inlineStr">
        <is>
          <t>V4 cadence</t>
        </is>
      </c>
      <c r="C28" s="5" t="inlineStr">
        <is>
          <t>lead</t>
        </is>
      </c>
      <c r="D28" s="5" t="n">
        <v>4</v>
      </c>
      <c r="E28" s="5" t="n">
        <v>2</v>
      </c>
      <c r="F28" s="5" t="inlineStr">
        <is>
          <t>V7</t>
        </is>
      </c>
      <c r="G28" s="5" t="inlineStr">
        <is>
          <t>A7</t>
        </is>
      </c>
      <c r="H28" s="5" t="inlineStr">
        <is>
          <t>D</t>
        </is>
      </c>
      <c r="I28" s="5" t="inlineStr">
        <is>
          <t>3</t>
        </is>
      </c>
      <c r="J28" s="5" t="inlineStr">
        <is>
          <t>F#</t>
        </is>
      </c>
      <c r="K28" s="5" t="n">
        <v>4</v>
      </c>
      <c r="L28" s="5">
        <f>IF(OR(C28&lt;&gt;C27,K28="",K27=""),"",K28-K27)</f>
        <v/>
      </c>
      <c r="M28" s="5">
        <f>IF(L28="","",IF(L28=0,"repeat",IF(ABS(L28)&lt;=2,"step","leap")))</f>
        <v/>
      </c>
      <c r="N28" s="5">
        <f>IF(F28&lt;&gt;F27,"Y","")</f>
        <v/>
      </c>
      <c r="O28" s="6" t="inlineStr">
        <is>
          <t>N</t>
        </is>
      </c>
      <c r="P28" s="6" t="inlineStr">
        <is>
          <t>S</t>
        </is>
      </c>
      <c r="Q28" s="6" t="inlineStr">
        <is>
          <t>open</t>
        </is>
      </c>
      <c r="R28" s="7" t="n"/>
      <c r="S28" s="5" t="n"/>
      <c r="T28" s="5" t="n"/>
      <c r="U28" s="8" t="inlineStr"/>
    </row>
    <row r="29">
      <c r="A29" s="5" t="inlineStr">
        <is>
          <t>verse</t>
        </is>
      </c>
      <c r="B29" s="5" t="inlineStr">
        <is>
          <t>V4 cadence</t>
        </is>
      </c>
      <c r="C29" s="5" t="inlineStr">
        <is>
          <t>lead</t>
        </is>
      </c>
      <c r="D29" s="5" t="n">
        <v>4</v>
      </c>
      <c r="E29" s="5" t="n">
        <v>3</v>
      </c>
      <c r="F29" s="5" t="inlineStr">
        <is>
          <t>V7</t>
        </is>
      </c>
      <c r="G29" s="5" t="inlineStr">
        <is>
          <t>A7</t>
        </is>
      </c>
      <c r="H29" s="5" t="inlineStr">
        <is>
          <t>D</t>
        </is>
      </c>
      <c r="I29" s="5" t="inlineStr">
        <is>
          <t>3</t>
        </is>
      </c>
      <c r="J29" s="5" t="inlineStr">
        <is>
          <t>F#</t>
        </is>
      </c>
      <c r="K29" s="5" t="n">
        <v>4</v>
      </c>
      <c r="L29" s="5">
        <f>IF(OR(C29&lt;&gt;C28,K29="",K28=""),"",K29-K28)</f>
        <v/>
      </c>
      <c r="M29" s="5">
        <f>IF(L29="","",IF(L29=0,"repeat",IF(ABS(L29)&lt;=2,"step","leap")))</f>
        <v/>
      </c>
      <c r="N29" s="5">
        <f>IF(F29&lt;&gt;F28,"Y","")</f>
        <v/>
      </c>
      <c r="O29" s="6" t="inlineStr">
        <is>
          <t>N</t>
        </is>
      </c>
      <c r="P29" s="6" t="inlineStr">
        <is>
          <t>u</t>
        </is>
      </c>
      <c r="Q29" s="6" t="inlineStr">
        <is>
          <t>open</t>
        </is>
      </c>
      <c r="R29" s="7" t="n"/>
      <c r="S29" s="5" t="n"/>
      <c r="T29" s="5" t="n"/>
      <c r="U29" s="8" t="inlineStr"/>
    </row>
    <row r="30">
      <c r="A30" s="5" t="inlineStr">
        <is>
          <t>verse</t>
        </is>
      </c>
      <c r="B30" s="5" t="inlineStr">
        <is>
          <t>V4 cadence</t>
        </is>
      </c>
      <c r="C30" s="5" t="inlineStr">
        <is>
          <t>lead</t>
        </is>
      </c>
      <c r="D30" s="5" t="n">
        <v>4</v>
      </c>
      <c r="E30" s="5" t="n">
        <v>4</v>
      </c>
      <c r="F30" s="5" t="inlineStr">
        <is>
          <t>V7</t>
        </is>
      </c>
      <c r="G30" s="5" t="inlineStr">
        <is>
          <t>A7</t>
        </is>
      </c>
      <c r="H30" s="5" t="inlineStr">
        <is>
          <t>D</t>
        </is>
      </c>
      <c r="I30" s="5" t="inlineStr">
        <is>
          <t>1</t>
        </is>
      </c>
      <c r="J30" s="5" t="inlineStr">
        <is>
          <t>D</t>
        </is>
      </c>
      <c r="K30" s="5" t="n">
        <v>0</v>
      </c>
      <c r="L30" s="5">
        <f>IF(OR(C30&lt;&gt;C29,K30="",K29=""),"",K30-K29)</f>
        <v/>
      </c>
      <c r="M30" s="5">
        <f>IF(L30="","",IF(L30=0,"repeat",IF(ABS(L30)&lt;=2,"step","leap")))</f>
        <v/>
      </c>
      <c r="N30" s="5">
        <f>IF(F30&lt;&gt;F29,"Y","")</f>
        <v/>
      </c>
      <c r="O30" s="6" t="inlineStr">
        <is>
          <t>N</t>
        </is>
      </c>
      <c r="P30" s="6" t="inlineStr">
        <is>
          <t>S</t>
        </is>
      </c>
      <c r="Q30" s="6" t="inlineStr">
        <is>
          <t>open</t>
        </is>
      </c>
      <c r="R30" s="7" t="n"/>
      <c r="S30" s="5" t="n"/>
      <c r="T30" s="5" t="n"/>
      <c r="U30" s="8" t="inlineStr">
        <is>
          <t>drop to low 1 (4th over V7)</t>
        </is>
      </c>
    </row>
    <row r="31">
      <c r="A31" s="5" t="inlineStr">
        <is>
          <t>verse</t>
        </is>
      </c>
      <c r="B31" s="5" t="inlineStr">
        <is>
          <t>V4 cadence</t>
        </is>
      </c>
      <c r="C31" s="5" t="inlineStr">
        <is>
          <t>lead</t>
        </is>
      </c>
      <c r="D31" s="5" t="n">
        <v>4</v>
      </c>
      <c r="E31" s="5" t="n">
        <v>4.5</v>
      </c>
      <c r="F31" s="5" t="inlineStr">
        <is>
          <t>V7</t>
        </is>
      </c>
      <c r="G31" s="5" t="inlineStr">
        <is>
          <t>A7</t>
        </is>
      </c>
      <c r="H31" s="5" t="inlineStr">
        <is>
          <t>D</t>
        </is>
      </c>
      <c r="I31" s="5" t="inlineStr">
        <is>
          <t>1</t>
        </is>
      </c>
      <c r="J31" s="5" t="inlineStr">
        <is>
          <t>D</t>
        </is>
      </c>
      <c r="K31" s="5" t="n">
        <v>0</v>
      </c>
      <c r="L31" s="5">
        <f>IF(OR(C31&lt;&gt;C30,K31="",K30=""),"",K31-K30)</f>
        <v/>
      </c>
      <c r="M31" s="5">
        <f>IF(L31="","",IF(L31=0,"repeat",IF(ABS(L31)&lt;=2,"step","leap")))</f>
        <v/>
      </c>
      <c r="N31" s="5">
        <f>IF(F31&lt;&gt;F30,"Y","")</f>
        <v/>
      </c>
      <c r="O31" s="6" t="inlineStr">
        <is>
          <t>N</t>
        </is>
      </c>
      <c r="P31" s="6" t="inlineStr">
        <is>
          <t>u</t>
        </is>
      </c>
      <c r="Q31" s="6" t="inlineStr">
        <is>
          <t>closed</t>
        </is>
      </c>
      <c r="R31" s="7" t="n"/>
      <c r="S31" s="5" t="n"/>
      <c r="T31" s="5" t="n"/>
      <c r="U31" s="8" t="inlineStr"/>
    </row>
    <row r="32">
      <c r="A32" s="5" t="inlineStr">
        <is>
          <t>verse</t>
        </is>
      </c>
      <c r="B32" s="5" t="inlineStr">
        <is>
          <t>V4 cadence</t>
        </is>
      </c>
      <c r="C32" s="5" t="inlineStr">
        <is>
          <t>lead</t>
        </is>
      </c>
      <c r="D32" s="5" t="n">
        <v>4</v>
      </c>
      <c r="E32" s="5" t="n">
        <v>5</v>
      </c>
      <c r="F32" s="5" t="inlineStr">
        <is>
          <t>V7</t>
        </is>
      </c>
      <c r="G32" s="5" t="inlineStr">
        <is>
          <t>A7</t>
        </is>
      </c>
      <c r="H32" s="5" t="inlineStr">
        <is>
          <t>D</t>
        </is>
      </c>
      <c r="I32" s="5" t="inlineStr">
        <is>
          <t>2</t>
        </is>
      </c>
      <c r="J32" s="5" t="inlineStr">
        <is>
          <t>E</t>
        </is>
      </c>
      <c r="K32" s="5" t="n">
        <v>2</v>
      </c>
      <c r="L32" s="5">
        <f>IF(OR(C32&lt;&gt;C31,K32="",K31=""),"",K32-K31)</f>
        <v/>
      </c>
      <c r="M32" s="5">
        <f>IF(L32="","",IF(L32=0,"repeat",IF(ABS(L32)&lt;=2,"step","leap")))</f>
        <v/>
      </c>
      <c r="N32" s="5">
        <f>IF(F32&lt;&gt;F31,"Y","")</f>
        <v/>
      </c>
      <c r="O32" s="6" t="inlineStr">
        <is>
          <t>Y</t>
        </is>
      </c>
      <c r="P32" s="6" t="inlineStr">
        <is>
          <t>S</t>
        </is>
      </c>
      <c r="Q32" s="6" t="inlineStr">
        <is>
          <t>closed</t>
        </is>
      </c>
      <c r="R32" s="7" t="n"/>
      <c r="S32" s="5" t="n"/>
      <c r="T32" s="5" t="n"/>
      <c r="U32" s="8" t="inlineStr">
        <is>
          <t>HANGS on 2 over V7, fall-off; verse never resolves</t>
        </is>
      </c>
    </row>
    <row r="33">
      <c r="A33" s="5" t="inlineStr">
        <is>
          <t>verse'</t>
        </is>
      </c>
      <c r="B33" s="5" t="inlineStr">
        <is>
          <t>V4' cadence</t>
        </is>
      </c>
      <c r="C33" s="5" t="inlineStr">
        <is>
          <t>lead</t>
        </is>
      </c>
      <c r="D33" s="5" t="n">
        <v>1</v>
      </c>
      <c r="E33" s="5" t="n">
        <v>1</v>
      </c>
      <c r="F33" s="5" t="inlineStr">
        <is>
          <t>ii7</t>
        </is>
      </c>
      <c r="G33" s="5" t="inlineStr">
        <is>
          <t>Em7</t>
        </is>
      </c>
      <c r="H33" s="5" t="inlineStr">
        <is>
          <t>T</t>
        </is>
      </c>
      <c r="I33" s="5" t="inlineStr">
        <is>
          <t>5</t>
        </is>
      </c>
      <c r="J33" s="5" t="inlineStr">
        <is>
          <t>A</t>
        </is>
      </c>
      <c r="K33" s="5" t="n">
        <v>7</v>
      </c>
      <c r="L33" s="5">
        <f>IF(OR(C33&lt;&gt;C32,K33="",K32=""),"",K33-K32)</f>
        <v/>
      </c>
      <c r="M33" s="5">
        <f>IF(L33="","",IF(L33=0,"repeat",IF(ABS(L33)&lt;=2,"step","leap")))</f>
        <v/>
      </c>
      <c r="N33" s="5">
        <f>IF(F33&lt;&gt;F32,"Y","")</f>
        <v/>
      </c>
      <c r="O33" s="6" t="inlineStr">
        <is>
          <t>N</t>
        </is>
      </c>
      <c r="P33" s="6" t="inlineStr">
        <is>
          <t>S</t>
        </is>
      </c>
      <c r="Q33" s="6" t="inlineStr">
        <is>
          <t>closed</t>
        </is>
      </c>
      <c r="R33" s="7" t="n"/>
      <c r="S33" s="5" t="n"/>
      <c r="T33" s="5" t="n"/>
      <c r="U33" s="8" t="inlineStr">
        <is>
          <t>variant cadence into mantra</t>
        </is>
      </c>
    </row>
    <row r="34">
      <c r="A34" s="5" t="inlineStr">
        <is>
          <t>verse'</t>
        </is>
      </c>
      <c r="B34" s="5" t="inlineStr">
        <is>
          <t>V4' cadence</t>
        </is>
      </c>
      <c r="C34" s="5" t="inlineStr">
        <is>
          <t>lead</t>
        </is>
      </c>
      <c r="D34" s="5" t="n">
        <v>1</v>
      </c>
      <c r="E34" s="5" t="n">
        <v>1.5</v>
      </c>
      <c r="F34" s="5" t="inlineStr">
        <is>
          <t>ii7</t>
        </is>
      </c>
      <c r="G34" s="5" t="inlineStr">
        <is>
          <t>Em7</t>
        </is>
      </c>
      <c r="H34" s="5" t="inlineStr">
        <is>
          <t>T</t>
        </is>
      </c>
      <c r="I34" s="5" t="inlineStr">
        <is>
          <t>4</t>
        </is>
      </c>
      <c r="J34" s="5" t="inlineStr">
        <is>
          <t>G</t>
        </is>
      </c>
      <c r="K34" s="5" t="n">
        <v>5</v>
      </c>
      <c r="L34" s="5">
        <f>IF(OR(C34&lt;&gt;C33,K34="",K33=""),"",K34-K33)</f>
        <v/>
      </c>
      <c r="M34" s="5">
        <f>IF(L34="","",IF(L34=0,"repeat",IF(ABS(L34)&lt;=2,"step","leap")))</f>
        <v/>
      </c>
      <c r="N34" s="5">
        <f>IF(F34&lt;&gt;F33,"Y","")</f>
        <v/>
      </c>
      <c r="O34" s="6" t="inlineStr">
        <is>
          <t>Y</t>
        </is>
      </c>
      <c r="P34" s="6" t="inlineStr">
        <is>
          <t>u</t>
        </is>
      </c>
      <c r="Q34" s="6" t="inlineStr">
        <is>
          <t>closed</t>
        </is>
      </c>
      <c r="R34" s="7" t="n"/>
      <c r="S34" s="5" t="n"/>
      <c r="T34" s="5" t="n"/>
      <c r="U34" s="8" t="inlineStr">
        <is>
          <t>slur</t>
        </is>
      </c>
    </row>
    <row r="35">
      <c r="A35" s="5" t="inlineStr">
        <is>
          <t>verse'</t>
        </is>
      </c>
      <c r="B35" s="5" t="inlineStr">
        <is>
          <t>V4' cadence</t>
        </is>
      </c>
      <c r="C35" s="5" t="inlineStr">
        <is>
          <t>lead</t>
        </is>
      </c>
      <c r="D35" s="5" t="n">
        <v>1</v>
      </c>
      <c r="E35" s="5" t="n">
        <v>2</v>
      </c>
      <c r="F35" s="5" t="inlineStr">
        <is>
          <t>ii7</t>
        </is>
      </c>
      <c r="G35" s="5" t="inlineStr">
        <is>
          <t>Em7</t>
        </is>
      </c>
      <c r="H35" s="5" t="inlineStr">
        <is>
          <t>T</t>
        </is>
      </c>
      <c r="I35" s="5" t="inlineStr">
        <is>
          <t>3</t>
        </is>
      </c>
      <c r="J35" s="5" t="inlineStr">
        <is>
          <t>F#</t>
        </is>
      </c>
      <c r="K35" s="5" t="n">
        <v>4</v>
      </c>
      <c r="L35" s="5">
        <f>IF(OR(C35&lt;&gt;C34,K35="",K34=""),"",K35-K34)</f>
        <v/>
      </c>
      <c r="M35" s="5">
        <f>IF(L35="","",IF(L35=0,"repeat",IF(ABS(L35)&lt;=2,"step","leap")))</f>
        <v/>
      </c>
      <c r="N35" s="5">
        <f>IF(F35&lt;&gt;F34,"Y","")</f>
        <v/>
      </c>
      <c r="O35" s="6" t="inlineStr">
        <is>
          <t>N</t>
        </is>
      </c>
      <c r="P35" s="6" t="inlineStr">
        <is>
          <t>u</t>
        </is>
      </c>
      <c r="Q35" s="6" t="inlineStr">
        <is>
          <t>open</t>
        </is>
      </c>
      <c r="R35" s="7" t="n"/>
      <c r="S35" s="5" t="n"/>
      <c r="T35" s="5" t="n"/>
      <c r="U35" s="8" t="inlineStr"/>
    </row>
    <row r="36">
      <c r="A36" s="5" t="inlineStr">
        <is>
          <t>verse'</t>
        </is>
      </c>
      <c r="B36" s="5" t="inlineStr">
        <is>
          <t>V4' cadence</t>
        </is>
      </c>
      <c r="C36" s="5" t="inlineStr">
        <is>
          <t>lead</t>
        </is>
      </c>
      <c r="D36" s="5" t="n">
        <v>1</v>
      </c>
      <c r="E36" s="5" t="n">
        <v>2.5</v>
      </c>
      <c r="F36" s="5" t="inlineStr">
        <is>
          <t>ii7</t>
        </is>
      </c>
      <c r="G36" s="5" t="inlineStr">
        <is>
          <t>Em7</t>
        </is>
      </c>
      <c r="H36" s="5" t="inlineStr">
        <is>
          <t>T</t>
        </is>
      </c>
      <c r="I36" s="5" t="inlineStr">
        <is>
          <t>4</t>
        </is>
      </c>
      <c r="J36" s="5" t="inlineStr">
        <is>
          <t>G</t>
        </is>
      </c>
      <c r="K36" s="5" t="n">
        <v>5</v>
      </c>
      <c r="L36" s="5">
        <f>IF(OR(C36&lt;&gt;C35,K36="",K35=""),"",K36-K35)</f>
        <v/>
      </c>
      <c r="M36" s="5">
        <f>IF(L36="","",IF(L36=0,"repeat",IF(ABS(L36)&lt;=2,"step","leap")))</f>
        <v/>
      </c>
      <c r="N36" s="5">
        <f>IF(F36&lt;&gt;F35,"Y","")</f>
        <v/>
      </c>
      <c r="O36" s="6" t="inlineStr">
        <is>
          <t>Y</t>
        </is>
      </c>
      <c r="P36" s="6" t="inlineStr">
        <is>
          <t>u</t>
        </is>
      </c>
      <c r="Q36" s="6" t="inlineStr">
        <is>
          <t>open</t>
        </is>
      </c>
      <c r="R36" s="7" t="n"/>
      <c r="S36" s="5" t="n"/>
      <c r="T36" s="5" t="n"/>
      <c r="U36" s="8" t="inlineStr">
        <is>
          <t>slur</t>
        </is>
      </c>
    </row>
    <row r="37">
      <c r="A37" s="5" t="inlineStr">
        <is>
          <t>verse'</t>
        </is>
      </c>
      <c r="B37" s="5" t="inlineStr">
        <is>
          <t>V4' cadence</t>
        </is>
      </c>
      <c r="C37" s="5" t="inlineStr">
        <is>
          <t>lead</t>
        </is>
      </c>
      <c r="D37" s="5" t="n">
        <v>2</v>
      </c>
      <c r="E37" s="5" t="n">
        <v>1</v>
      </c>
      <c r="F37" s="5" t="inlineStr">
        <is>
          <t>iv</t>
        </is>
      </c>
      <c r="G37" s="5" t="inlineStr">
        <is>
          <t>Gm</t>
        </is>
      </c>
      <c r="H37" s="5" t="inlineStr">
        <is>
          <t>T</t>
        </is>
      </c>
      <c r="I37" s="5" t="inlineStr">
        <is>
          <t>3</t>
        </is>
      </c>
      <c r="J37" s="5" t="inlineStr">
        <is>
          <t>F#</t>
        </is>
      </c>
      <c r="K37" s="5" t="n">
        <v>4</v>
      </c>
      <c r="L37" s="5">
        <f>IF(OR(C37&lt;&gt;C36,K37="",K36=""),"",K37-K36)</f>
        <v/>
      </c>
      <c r="M37" s="5">
        <f>IF(L37="","",IF(L37=0,"repeat",IF(ABS(L37)&lt;=2,"step","leap")))</f>
        <v/>
      </c>
      <c r="N37" s="5">
        <f>IF(F37&lt;&gt;F36,"Y","")</f>
        <v/>
      </c>
      <c r="O37" s="6" t="inlineStr">
        <is>
          <t>N</t>
        </is>
      </c>
      <c r="P37" s="6" t="inlineStr">
        <is>
          <t>S</t>
        </is>
      </c>
      <c r="Q37" s="6" t="inlineStr">
        <is>
          <t>closed</t>
        </is>
      </c>
      <c r="R37" s="7" t="n"/>
      <c r="S37" s="5" t="n"/>
      <c r="T37" s="5" t="n"/>
      <c r="U37" s="8" t="inlineStr">
        <is>
          <t>chord change to borrowed iv</t>
        </is>
      </c>
    </row>
    <row r="38">
      <c r="A38" s="5" t="inlineStr">
        <is>
          <t>verse'</t>
        </is>
      </c>
      <c r="B38" s="5" t="inlineStr">
        <is>
          <t>V4' cadence</t>
        </is>
      </c>
      <c r="C38" s="5" t="inlineStr">
        <is>
          <t>lead</t>
        </is>
      </c>
      <c r="D38" s="5" t="n">
        <v>2</v>
      </c>
      <c r="E38" s="5" t="n">
        <v>1.5</v>
      </c>
      <c r="F38" s="5" t="inlineStr">
        <is>
          <t>iv</t>
        </is>
      </c>
      <c r="G38" s="5" t="inlineStr">
        <is>
          <t>Gm</t>
        </is>
      </c>
      <c r="H38" s="5" t="inlineStr">
        <is>
          <t>T</t>
        </is>
      </c>
      <c r="I38" s="5" t="inlineStr">
        <is>
          <t>2</t>
        </is>
      </c>
      <c r="J38" s="5" t="inlineStr">
        <is>
          <t>E</t>
        </is>
      </c>
      <c r="K38" s="5" t="n">
        <v>2</v>
      </c>
      <c r="L38" s="5">
        <f>IF(OR(C38&lt;&gt;C37,K38="",K37=""),"",K38-K37)</f>
        <v/>
      </c>
      <c r="M38" s="5">
        <f>IF(L38="","",IF(L38=0,"repeat",IF(ABS(L38)&lt;=2,"step","leap")))</f>
        <v/>
      </c>
      <c r="N38" s="5">
        <f>IF(F38&lt;&gt;F37,"Y","")</f>
        <v/>
      </c>
      <c r="O38" s="6" t="inlineStr">
        <is>
          <t>N</t>
        </is>
      </c>
      <c r="P38" s="6" t="inlineStr">
        <is>
          <t>u</t>
        </is>
      </c>
      <c r="Q38" s="6" t="inlineStr">
        <is>
          <t>closed</t>
        </is>
      </c>
      <c r="R38" s="7" t="n"/>
      <c r="S38" s="5" t="n"/>
      <c r="T38" s="5" t="n"/>
      <c r="U38" s="8" t="inlineStr">
        <is>
          <t>slur</t>
        </is>
      </c>
    </row>
    <row r="39">
      <c r="A39" s="5" t="inlineStr">
        <is>
          <t>verse'</t>
        </is>
      </c>
      <c r="B39" s="5" t="inlineStr">
        <is>
          <t>V4' cadence</t>
        </is>
      </c>
      <c r="C39" s="5" t="inlineStr">
        <is>
          <t>lead</t>
        </is>
      </c>
      <c r="D39" s="5" t="n">
        <v>2</v>
      </c>
      <c r="E39" s="5" t="n">
        <v>2</v>
      </c>
      <c r="F39" s="5" t="inlineStr">
        <is>
          <t>iv</t>
        </is>
      </c>
      <c r="G39" s="5" t="inlineStr">
        <is>
          <t>Gm</t>
        </is>
      </c>
      <c r="H39" s="5" t="inlineStr">
        <is>
          <t>T</t>
        </is>
      </c>
      <c r="I39" s="5" t="inlineStr">
        <is>
          <t>1</t>
        </is>
      </c>
      <c r="J39" s="5" t="inlineStr">
        <is>
          <t>D</t>
        </is>
      </c>
      <c r="K39" s="5" t="n">
        <v>0</v>
      </c>
      <c r="L39" s="5">
        <f>IF(OR(C39&lt;&gt;C38,K39="",K38=""),"",K39-K38)</f>
        <v/>
      </c>
      <c r="M39" s="5">
        <f>IF(L39="","",IF(L39=0,"repeat",IF(ABS(L39)&lt;=2,"step","leap")))</f>
        <v/>
      </c>
      <c r="N39" s="5">
        <f>IF(F39&lt;&gt;F38,"Y","")</f>
        <v/>
      </c>
      <c r="O39" s="6" t="inlineStr">
        <is>
          <t>N</t>
        </is>
      </c>
      <c r="P39" s="6" t="inlineStr">
        <is>
          <t>S</t>
        </is>
      </c>
      <c r="Q39" s="6" t="inlineStr">
        <is>
          <t>open</t>
        </is>
      </c>
      <c r="R39" s="7" t="n"/>
      <c r="S39" s="5" t="n"/>
      <c r="T39" s="5" t="n"/>
      <c r="U39" s="8" t="inlineStr">
        <is>
          <t>only verse phrase landing on 1 - over iv, not I</t>
        </is>
      </c>
    </row>
    <row r="40">
      <c r="A40" s="5" t="inlineStr">
        <is>
          <t>mantra</t>
        </is>
      </c>
      <c r="B40" s="5" t="inlineStr">
        <is>
          <t>tag</t>
        </is>
      </c>
      <c r="C40" s="5" t="inlineStr">
        <is>
          <t>lead</t>
        </is>
      </c>
      <c r="D40" s="5" t="n">
        <v>1</v>
      </c>
      <c r="E40" s="5" t="n">
        <v>1.5</v>
      </c>
      <c r="F40" s="5" t="inlineStr">
        <is>
          <t>I</t>
        </is>
      </c>
      <c r="G40" s="5" t="inlineStr">
        <is>
          <t>D</t>
        </is>
      </c>
      <c r="H40" s="5" t="inlineStr">
        <is>
          <t>T</t>
        </is>
      </c>
      <c r="I40" s="5" t="inlineStr">
        <is>
          <t>1-3</t>
        </is>
      </c>
      <c r="J40" s="5" t="inlineStr">
        <is>
          <t>D-F#</t>
        </is>
      </c>
      <c r="K40" s="5" t="n">
        <v>4</v>
      </c>
      <c r="L40" s="5">
        <f>IF(OR(C40&lt;&gt;C39,K40="",K39=""),"",K40-K39)</f>
        <v/>
      </c>
      <c r="M40" s="5">
        <f>IF(L40="","",IF(L40=0,"repeat",IF(ABS(L40)&lt;=2,"step","leap")))</f>
        <v/>
      </c>
      <c r="N40" s="5">
        <f>IF(F40&lt;&gt;F39,"Y","")</f>
        <v/>
      </c>
      <c r="O40" s="6" t="inlineStr">
        <is>
          <t>Y</t>
        </is>
      </c>
      <c r="P40" s="6" t="inlineStr">
        <is>
          <t>S</t>
        </is>
      </c>
      <c r="Q40" s="6" t="inlineStr">
        <is>
          <t>open</t>
        </is>
      </c>
      <c r="R40" s="7" t="n"/>
      <c r="S40" s="5" t="n"/>
      <c r="T40" s="5" t="n"/>
      <c r="U40" s="8" t="inlineStr">
        <is>
          <t>back-heavy entry; slur rises 1 to 3</t>
        </is>
      </c>
    </row>
    <row r="41">
      <c r="A41" s="5" t="inlineStr">
        <is>
          <t>mantra</t>
        </is>
      </c>
      <c r="B41" s="5" t="inlineStr">
        <is>
          <t>tag</t>
        </is>
      </c>
      <c r="C41" s="5" t="inlineStr">
        <is>
          <t>lead</t>
        </is>
      </c>
      <c r="D41" s="5" t="n">
        <v>1</v>
      </c>
      <c r="E41" s="5" t="n">
        <v>2.5</v>
      </c>
      <c r="F41" s="5" t="inlineStr">
        <is>
          <t>I</t>
        </is>
      </c>
      <c r="G41" s="5" t="inlineStr">
        <is>
          <t>D</t>
        </is>
      </c>
      <c r="H41" s="5" t="inlineStr">
        <is>
          <t>T</t>
        </is>
      </c>
      <c r="I41" s="5" t="inlineStr">
        <is>
          <t>3</t>
        </is>
      </c>
      <c r="J41" s="5" t="inlineStr">
        <is>
          <t>F#</t>
        </is>
      </c>
      <c r="K41" s="5" t="n">
        <v>4</v>
      </c>
      <c r="L41" s="5">
        <f>IF(OR(C41&lt;&gt;C40,K41="",K40=""),"",K41-K40)</f>
        <v/>
      </c>
      <c r="M41" s="5">
        <f>IF(L41="","",IF(L41=0,"repeat",IF(ABS(L41)&lt;=2,"step","leap")))</f>
        <v/>
      </c>
      <c r="N41" s="5">
        <f>IF(F41&lt;&gt;F40,"Y","")</f>
        <v/>
      </c>
      <c r="O41" s="6" t="inlineStr">
        <is>
          <t>Y</t>
        </is>
      </c>
      <c r="P41" s="6" t="inlineStr">
        <is>
          <t>S</t>
        </is>
      </c>
      <c r="Q41" s="6" t="inlineStr">
        <is>
          <t>open</t>
        </is>
      </c>
      <c r="R41" s="7" t="n"/>
      <c r="S41" s="5" t="n"/>
      <c r="T41" s="5" t="n"/>
      <c r="U41" s="8" t="inlineStr"/>
    </row>
    <row r="42">
      <c r="A42" s="5" t="inlineStr">
        <is>
          <t>mantra</t>
        </is>
      </c>
      <c r="B42" s="5" t="inlineStr">
        <is>
          <t>tag</t>
        </is>
      </c>
      <c r="C42" s="5" t="inlineStr">
        <is>
          <t>lead</t>
        </is>
      </c>
      <c r="D42" s="5" t="n">
        <v>1</v>
      </c>
      <c r="E42" s="5" t="n">
        <v>3</v>
      </c>
      <c r="F42" s="5" t="inlineStr">
        <is>
          <t>I</t>
        </is>
      </c>
      <c r="G42" s="5" t="inlineStr">
        <is>
          <t>D</t>
        </is>
      </c>
      <c r="H42" s="5" t="inlineStr">
        <is>
          <t>T</t>
        </is>
      </c>
      <c r="I42" s="5" t="inlineStr">
        <is>
          <t>4-5</t>
        </is>
      </c>
      <c r="J42" s="5" t="inlineStr">
        <is>
          <t>G-A</t>
        </is>
      </c>
      <c r="K42" s="5" t="n">
        <v>7</v>
      </c>
      <c r="L42" s="5">
        <f>IF(OR(C42&lt;&gt;C41,K42="",K41=""),"",K42-K41)</f>
        <v/>
      </c>
      <c r="M42" s="5">
        <f>IF(L42="","",IF(L42=0,"repeat",IF(ABS(L42)&lt;=2,"step","leap")))</f>
        <v/>
      </c>
      <c r="N42" s="5">
        <f>IF(F42&lt;&gt;F41,"Y","")</f>
        <v/>
      </c>
      <c r="O42" s="6" t="inlineStr">
        <is>
          <t>Y</t>
        </is>
      </c>
      <c r="P42" s="6" t="inlineStr">
        <is>
          <t>u</t>
        </is>
      </c>
      <c r="Q42" s="6" t="inlineStr">
        <is>
          <t>open</t>
        </is>
      </c>
      <c r="R42" s="7" t="n"/>
      <c r="S42" s="5" t="n"/>
      <c r="T42" s="5" t="n"/>
      <c r="U42" s="8" t="inlineStr">
        <is>
          <t>slur</t>
        </is>
      </c>
    </row>
    <row r="43">
      <c r="A43" s="5" t="inlineStr">
        <is>
          <t>mantra</t>
        </is>
      </c>
      <c r="B43" s="5" t="inlineStr">
        <is>
          <t>tag</t>
        </is>
      </c>
      <c r="C43" s="5" t="inlineStr">
        <is>
          <t>lead</t>
        </is>
      </c>
      <c r="D43" s="5" t="n">
        <v>1</v>
      </c>
      <c r="E43" s="5" t="n">
        <v>4</v>
      </c>
      <c r="F43" s="5" t="inlineStr">
        <is>
          <t>I</t>
        </is>
      </c>
      <c r="G43" s="5" t="inlineStr">
        <is>
          <t>D</t>
        </is>
      </c>
      <c r="H43" s="5" t="inlineStr">
        <is>
          <t>T</t>
        </is>
      </c>
      <c r="I43" s="5" t="inlineStr">
        <is>
          <t>6</t>
        </is>
      </c>
      <c r="J43" s="5" t="inlineStr">
        <is>
          <t>B</t>
        </is>
      </c>
      <c r="K43" s="5" t="n">
        <v>9</v>
      </c>
      <c r="L43" s="5">
        <f>IF(OR(C43&lt;&gt;C42,K43="",K42=""),"",K43-K42)</f>
        <v/>
      </c>
      <c r="M43" s="5">
        <f>IF(L43="","",IF(L43=0,"repeat",IF(ABS(L43)&lt;=2,"step","leap")))</f>
        <v/>
      </c>
      <c r="N43" s="5">
        <f>IF(F43&lt;&gt;F42,"Y","")</f>
        <v/>
      </c>
      <c r="O43" s="6" t="inlineStr">
        <is>
          <t>N</t>
        </is>
      </c>
      <c r="P43" s="6" t="inlineStr">
        <is>
          <t>S</t>
        </is>
      </c>
      <c r="Q43" s="6" t="inlineStr">
        <is>
          <t>open</t>
        </is>
      </c>
      <c r="R43" s="7" t="n"/>
      <c r="S43" s="5" t="n"/>
      <c r="T43" s="5" t="n"/>
      <c r="U43" s="8" t="inlineStr"/>
    </row>
    <row r="44">
      <c r="A44" s="5" t="inlineStr">
        <is>
          <t>mantra</t>
        </is>
      </c>
      <c r="B44" s="5" t="inlineStr">
        <is>
          <t>tag</t>
        </is>
      </c>
      <c r="C44" s="5" t="inlineStr">
        <is>
          <t>lead</t>
        </is>
      </c>
      <c r="D44" s="5" t="n">
        <v>1</v>
      </c>
      <c r="E44" s="5" t="n">
        <v>4.5</v>
      </c>
      <c r="F44" s="5" t="inlineStr">
        <is>
          <t>I</t>
        </is>
      </c>
      <c r="G44" s="5" t="inlineStr">
        <is>
          <t>D</t>
        </is>
      </c>
      <c r="H44" s="5" t="inlineStr">
        <is>
          <t>T</t>
        </is>
      </c>
      <c r="I44" s="5" t="inlineStr">
        <is>
          <t>5</t>
        </is>
      </c>
      <c r="J44" s="5" t="inlineStr">
        <is>
          <t>A</t>
        </is>
      </c>
      <c r="K44" s="5" t="n">
        <v>7</v>
      </c>
      <c r="L44" s="5">
        <f>IF(OR(C44&lt;&gt;C43,K44="",K43=""),"",K44-K43)</f>
        <v/>
      </c>
      <c r="M44" s="5">
        <f>IF(L44="","",IF(L44=0,"repeat",IF(ABS(L44)&lt;=2,"step","leap")))</f>
        <v/>
      </c>
      <c r="N44" s="5">
        <f>IF(F44&lt;&gt;F43,"Y","")</f>
        <v/>
      </c>
      <c r="O44" s="6" t="inlineStr">
        <is>
          <t>Y</t>
        </is>
      </c>
      <c r="P44" s="6" t="inlineStr">
        <is>
          <t>u</t>
        </is>
      </c>
      <c r="Q44" s="6" t="inlineStr">
        <is>
          <t>open</t>
        </is>
      </c>
      <c r="R44" s="7" t="n"/>
      <c r="S44" s="5" t="n"/>
      <c r="T44" s="5" t="n"/>
      <c r="U44" s="8" t="inlineStr"/>
    </row>
    <row r="45">
      <c r="A45" s="5" t="inlineStr">
        <is>
          <t>mantra</t>
        </is>
      </c>
      <c r="B45" s="5" t="inlineStr">
        <is>
          <t>tag</t>
        </is>
      </c>
      <c r="C45" s="5" t="inlineStr">
        <is>
          <t>lead</t>
        </is>
      </c>
      <c r="D45" s="5" t="n">
        <v>2</v>
      </c>
      <c r="E45" s="5" t="n">
        <v>1</v>
      </c>
      <c r="F45" s="5" t="inlineStr">
        <is>
          <t>V</t>
        </is>
      </c>
      <c r="G45" s="5" t="inlineStr">
        <is>
          <t>A</t>
        </is>
      </c>
      <c r="H45" s="5" t="inlineStr">
        <is>
          <t>T</t>
        </is>
      </c>
      <c r="I45" s="5" t="inlineStr">
        <is>
          <t>5</t>
        </is>
      </c>
      <c r="J45" s="5" t="inlineStr">
        <is>
          <t>A</t>
        </is>
      </c>
      <c r="K45" s="5" t="n">
        <v>7</v>
      </c>
      <c r="L45" s="5">
        <f>IF(OR(C45&lt;&gt;C44,K45="",K44=""),"",K45-K44)</f>
        <v/>
      </c>
      <c r="M45" s="5">
        <f>IF(L45="","",IF(L45=0,"repeat",IF(ABS(L45)&lt;=2,"step","leap")))</f>
        <v/>
      </c>
      <c r="N45" s="5">
        <f>IF(F45&lt;&gt;F44,"Y","")</f>
        <v/>
      </c>
      <c r="O45" s="6" t="inlineStr">
        <is>
          <t>Y</t>
        </is>
      </c>
      <c r="P45" s="6" t="inlineStr">
        <is>
          <t>S</t>
        </is>
      </c>
      <c r="Q45" s="6" t="inlineStr">
        <is>
          <t>open</t>
        </is>
      </c>
      <c r="R45" s="7" t="n"/>
      <c r="S45" s="5" t="n"/>
      <c r="T45" s="5" t="n"/>
      <c r="U45" s="8" t="inlineStr">
        <is>
          <t>long 5 held over V</t>
        </is>
      </c>
    </row>
    <row r="46">
      <c r="A46" s="5" t="inlineStr">
        <is>
          <t>refrain</t>
        </is>
      </c>
      <c r="B46" s="5" t="inlineStr">
        <is>
          <t>chant 1</t>
        </is>
      </c>
      <c r="C46" s="5" t="inlineStr">
        <is>
          <t>lead</t>
        </is>
      </c>
      <c r="D46" s="5" t="n">
        <v>1</v>
      </c>
      <c r="E46" s="5" t="n">
        <v>1</v>
      </c>
      <c r="F46" s="5" t="inlineStr">
        <is>
          <t>V</t>
        </is>
      </c>
      <c r="G46" s="5" t="inlineStr">
        <is>
          <t>A</t>
        </is>
      </c>
      <c r="H46" s="5" t="inlineStr">
        <is>
          <t>T</t>
        </is>
      </c>
      <c r="I46" s="5" t="inlineStr">
        <is>
          <t>2</t>
        </is>
      </c>
      <c r="J46" s="5" t="inlineStr">
        <is>
          <t>E</t>
        </is>
      </c>
      <c r="K46" s="5" t="n">
        <v>14</v>
      </c>
      <c r="L46" s="5">
        <f>IF(OR(C46&lt;&gt;C45,K46="",K45=""),"",K46-K45)</f>
        <v/>
      </c>
      <c r="M46" s="5">
        <f>IF(L46="","",IF(L46=0,"repeat",IF(ABS(L46)&lt;=2,"step","leap")))</f>
        <v/>
      </c>
      <c r="N46" s="5">
        <f>IF(F46&lt;&gt;F45,"Y","")</f>
        <v/>
      </c>
      <c r="O46" s="6" t="inlineStr">
        <is>
          <t>Y</t>
        </is>
      </c>
      <c r="P46" s="6" t="inlineStr">
        <is>
          <t>S</t>
        </is>
      </c>
      <c r="Q46" s="6" t="inlineStr">
        <is>
          <t>open</t>
        </is>
      </c>
      <c r="R46" s="7" t="n"/>
      <c r="S46" s="5" t="n"/>
      <c r="T46" s="5" t="n"/>
      <c r="U46" s="8" t="inlineStr">
        <is>
          <t>chant on repeated 2 (octave above verse register)</t>
        </is>
      </c>
    </row>
    <row r="47">
      <c r="A47" s="5" t="inlineStr">
        <is>
          <t>refrain</t>
        </is>
      </c>
      <c r="B47" s="5" t="inlineStr">
        <is>
          <t>chant 1</t>
        </is>
      </c>
      <c r="C47" s="5" t="inlineStr">
        <is>
          <t>lead</t>
        </is>
      </c>
      <c r="D47" s="5" t="n">
        <v>1</v>
      </c>
      <c r="E47" s="5" t="n">
        <v>1.5</v>
      </c>
      <c r="F47" s="5" t="inlineStr">
        <is>
          <t>V</t>
        </is>
      </c>
      <c r="G47" s="5" t="inlineStr">
        <is>
          <t>A</t>
        </is>
      </c>
      <c r="H47" s="5" t="inlineStr">
        <is>
          <t>T</t>
        </is>
      </c>
      <c r="I47" s="5" t="inlineStr">
        <is>
          <t>2</t>
        </is>
      </c>
      <c r="J47" s="5" t="inlineStr">
        <is>
          <t>E</t>
        </is>
      </c>
      <c r="K47" s="5" t="n">
        <v>14</v>
      </c>
      <c r="L47" s="5">
        <f>IF(OR(C47&lt;&gt;C46,K47="",K46=""),"",K47-K46)</f>
        <v/>
      </c>
      <c r="M47" s="5">
        <f>IF(L47="","",IF(L47=0,"repeat",IF(ABS(L47)&lt;=2,"step","leap")))</f>
        <v/>
      </c>
      <c r="N47" s="5">
        <f>IF(F47&lt;&gt;F46,"Y","")</f>
        <v/>
      </c>
      <c r="O47" s="6" t="inlineStr">
        <is>
          <t>Y</t>
        </is>
      </c>
      <c r="P47" s="6" t="inlineStr">
        <is>
          <t>u</t>
        </is>
      </c>
      <c r="Q47" s="6" t="inlineStr">
        <is>
          <t>closed</t>
        </is>
      </c>
      <c r="R47" s="7" t="n"/>
      <c r="S47" s="5" t="n"/>
      <c r="T47" s="5" t="n"/>
      <c r="U47" s="8" t="inlineStr"/>
    </row>
    <row r="48">
      <c r="A48" s="5" t="inlineStr">
        <is>
          <t>refrain</t>
        </is>
      </c>
      <c r="B48" s="5" t="inlineStr">
        <is>
          <t>chant 1</t>
        </is>
      </c>
      <c r="C48" s="5" t="inlineStr">
        <is>
          <t>lead</t>
        </is>
      </c>
      <c r="D48" s="5" t="n">
        <v>1</v>
      </c>
      <c r="E48" s="5" t="n">
        <v>2</v>
      </c>
      <c r="F48" s="5" t="inlineStr">
        <is>
          <t>V</t>
        </is>
      </c>
      <c r="G48" s="5" t="inlineStr">
        <is>
          <t>A</t>
        </is>
      </c>
      <c r="H48" s="5" t="inlineStr">
        <is>
          <t>T</t>
        </is>
      </c>
      <c r="I48" s="5" t="inlineStr">
        <is>
          <t>2</t>
        </is>
      </c>
      <c r="J48" s="5" t="inlineStr">
        <is>
          <t>E</t>
        </is>
      </c>
      <c r="K48" s="5" t="n">
        <v>14</v>
      </c>
      <c r="L48" s="5">
        <f>IF(OR(C48&lt;&gt;C47,K48="",K47=""),"",K48-K47)</f>
        <v/>
      </c>
      <c r="M48" s="5">
        <f>IF(L48="","",IF(L48=0,"repeat",IF(ABS(L48)&lt;=2,"step","leap")))</f>
        <v/>
      </c>
      <c r="N48" s="5">
        <f>IF(F48&lt;&gt;F47,"Y","")</f>
        <v/>
      </c>
      <c r="O48" s="6" t="inlineStr">
        <is>
          <t>Y</t>
        </is>
      </c>
      <c r="P48" s="6" t="inlineStr">
        <is>
          <t>S</t>
        </is>
      </c>
      <c r="Q48" s="6" t="inlineStr">
        <is>
          <t>open</t>
        </is>
      </c>
      <c r="R48" s="7" t="n"/>
      <c r="S48" s="5" t="n"/>
      <c r="T48" s="5" t="n"/>
      <c r="U48" s="8" t="inlineStr"/>
    </row>
    <row r="49">
      <c r="A49" s="5" t="inlineStr">
        <is>
          <t>refrain</t>
        </is>
      </c>
      <c r="B49" s="5" t="inlineStr">
        <is>
          <t>chant 1</t>
        </is>
      </c>
      <c r="C49" s="5" t="inlineStr">
        <is>
          <t>lead</t>
        </is>
      </c>
      <c r="D49" s="5" t="n">
        <v>1</v>
      </c>
      <c r="E49" s="5" t="n">
        <v>2.5</v>
      </c>
      <c r="F49" s="5" t="inlineStr">
        <is>
          <t>V</t>
        </is>
      </c>
      <c r="G49" s="5" t="inlineStr">
        <is>
          <t>A</t>
        </is>
      </c>
      <c r="H49" s="5" t="inlineStr">
        <is>
          <t>T</t>
        </is>
      </c>
      <c r="I49" s="5" t="inlineStr">
        <is>
          <t>2</t>
        </is>
      </c>
      <c r="J49" s="5" t="inlineStr">
        <is>
          <t>E</t>
        </is>
      </c>
      <c r="K49" s="5" t="n">
        <v>14</v>
      </c>
      <c r="L49" s="5">
        <f>IF(OR(C49&lt;&gt;C48,K49="",K48=""),"",K49-K48)</f>
        <v/>
      </c>
      <c r="M49" s="5">
        <f>IF(L49="","",IF(L49=0,"repeat",IF(ABS(L49)&lt;=2,"step","leap")))</f>
        <v/>
      </c>
      <c r="N49" s="5">
        <f>IF(F49&lt;&gt;F48,"Y","")</f>
        <v/>
      </c>
      <c r="O49" s="6" t="inlineStr">
        <is>
          <t>Y</t>
        </is>
      </c>
      <c r="P49" s="6" t="inlineStr">
        <is>
          <t>u</t>
        </is>
      </c>
      <c r="Q49" s="6" t="inlineStr">
        <is>
          <t>open</t>
        </is>
      </c>
      <c r="R49" s="7" t="n"/>
      <c r="S49" s="5" t="n"/>
      <c r="T49" s="5" t="n"/>
      <c r="U49" s="8" t="inlineStr"/>
    </row>
    <row r="50">
      <c r="A50" s="5" t="inlineStr">
        <is>
          <t>refrain</t>
        </is>
      </c>
      <c r="B50" s="5" t="inlineStr">
        <is>
          <t>chant 1</t>
        </is>
      </c>
      <c r="C50" s="5" t="inlineStr">
        <is>
          <t>lead</t>
        </is>
      </c>
      <c r="D50" s="5" t="n">
        <v>1</v>
      </c>
      <c r="E50" s="5" t="n">
        <v>3</v>
      </c>
      <c r="F50" s="5" t="inlineStr">
        <is>
          <t>V</t>
        </is>
      </c>
      <c r="G50" s="5" t="inlineStr">
        <is>
          <t>A</t>
        </is>
      </c>
      <c r="H50" s="5" t="inlineStr">
        <is>
          <t>T</t>
        </is>
      </c>
      <c r="I50" s="5" t="inlineStr">
        <is>
          <t>2</t>
        </is>
      </c>
      <c r="J50" s="5" t="inlineStr">
        <is>
          <t>E</t>
        </is>
      </c>
      <c r="K50" s="5" t="n">
        <v>14</v>
      </c>
      <c r="L50" s="5">
        <f>IF(OR(C50&lt;&gt;C49,K50="",K49=""),"",K50-K49)</f>
        <v/>
      </c>
      <c r="M50" s="5">
        <f>IF(L50="","",IF(L50=0,"repeat",IF(ABS(L50)&lt;=2,"step","leap")))</f>
        <v/>
      </c>
      <c r="N50" s="5">
        <f>IF(F50&lt;&gt;F49,"Y","")</f>
        <v/>
      </c>
      <c r="O50" s="6" t="inlineStr">
        <is>
          <t>Y</t>
        </is>
      </c>
      <c r="P50" s="6" t="inlineStr">
        <is>
          <t>S</t>
        </is>
      </c>
      <c r="Q50" s="6" t="inlineStr">
        <is>
          <t>open</t>
        </is>
      </c>
      <c r="R50" s="7" t="n"/>
      <c r="S50" s="5" t="n"/>
      <c r="T50" s="5" t="n"/>
      <c r="U50" s="8" t="inlineStr"/>
    </row>
    <row r="51">
      <c r="A51" s="5" t="inlineStr">
        <is>
          <t>refrain</t>
        </is>
      </c>
      <c r="B51" s="5" t="inlineStr">
        <is>
          <t>chant 1</t>
        </is>
      </c>
      <c r="C51" s="5" t="inlineStr">
        <is>
          <t>lead</t>
        </is>
      </c>
      <c r="D51" s="5" t="n">
        <v>1</v>
      </c>
      <c r="E51" s="5" t="n">
        <v>3.5</v>
      </c>
      <c r="F51" s="5" t="inlineStr">
        <is>
          <t>V</t>
        </is>
      </c>
      <c r="G51" s="5" t="inlineStr">
        <is>
          <t>A</t>
        </is>
      </c>
      <c r="H51" s="5" t="inlineStr">
        <is>
          <t>T</t>
        </is>
      </c>
      <c r="I51" s="5" t="inlineStr">
        <is>
          <t>3</t>
        </is>
      </c>
      <c r="J51" s="5" t="inlineStr">
        <is>
          <t>F#</t>
        </is>
      </c>
      <c r="K51" s="5" t="n">
        <v>16</v>
      </c>
      <c r="L51" s="5">
        <f>IF(OR(C51&lt;&gt;C50,K51="",K50=""),"",K51-K50)</f>
        <v/>
      </c>
      <c r="M51" s="5">
        <f>IF(L51="","",IF(L51=0,"repeat",IF(ABS(L51)&lt;=2,"step","leap")))</f>
        <v/>
      </c>
      <c r="N51" s="5">
        <f>IF(F51&lt;&gt;F50,"Y","")</f>
        <v/>
      </c>
      <c r="O51" s="6" t="inlineStr">
        <is>
          <t>N</t>
        </is>
      </c>
      <c r="P51" s="6" t="inlineStr">
        <is>
          <t>u</t>
        </is>
      </c>
      <c r="Q51" s="6" t="inlineStr">
        <is>
          <t>open</t>
        </is>
      </c>
      <c r="R51" s="7" t="n"/>
      <c r="S51" s="5" t="n"/>
      <c r="T51" s="5" t="n"/>
      <c r="U51" s="8" t="inlineStr">
        <is>
          <t>the song's only leap approaches</t>
        </is>
      </c>
    </row>
    <row r="52">
      <c r="A52" s="5" t="inlineStr">
        <is>
          <t>refrain</t>
        </is>
      </c>
      <c r="B52" s="5" t="inlineStr">
        <is>
          <t>chant 1</t>
        </is>
      </c>
      <c r="C52" s="5" t="inlineStr">
        <is>
          <t>lead</t>
        </is>
      </c>
      <c r="D52" s="5" t="n">
        <v>1</v>
      </c>
      <c r="E52" s="5" t="n">
        <v>4</v>
      </c>
      <c r="F52" s="5" t="inlineStr">
        <is>
          <t>V</t>
        </is>
      </c>
      <c r="G52" s="5" t="inlineStr">
        <is>
          <t>A</t>
        </is>
      </c>
      <c r="H52" s="5" t="inlineStr">
        <is>
          <t>T</t>
        </is>
      </c>
      <c r="I52" s="5" t="inlineStr">
        <is>
          <t>1</t>
        </is>
      </c>
      <c r="J52" s="5" t="inlineStr">
        <is>
          <t>D</t>
        </is>
      </c>
      <c r="K52" s="5" t="n">
        <v>12</v>
      </c>
      <c r="L52" s="5">
        <f>IF(OR(C52&lt;&gt;C51,K52="",K51=""),"",K52-K51)</f>
        <v/>
      </c>
      <c r="M52" s="5">
        <f>IF(L52="","",IF(L52=0,"repeat",IF(ABS(L52)&lt;=2,"step","leap")))</f>
        <v/>
      </c>
      <c r="N52" s="5">
        <f>IF(F52&lt;&gt;F51,"Y","")</f>
        <v/>
      </c>
      <c r="O52" s="6" t="inlineStr">
        <is>
          <t>N</t>
        </is>
      </c>
      <c r="P52" s="6" t="inlineStr">
        <is>
          <t>S</t>
        </is>
      </c>
      <c r="Q52" s="6" t="inlineStr">
        <is>
          <t>closed</t>
        </is>
      </c>
      <c r="R52" s="7" t="n"/>
      <c r="S52" s="5" t="n"/>
      <c r="T52" s="5" t="n"/>
      <c r="U52" s="8" t="inlineStr">
        <is>
          <t>falls a 3rd onto 1 - over V: still suspended</t>
        </is>
      </c>
    </row>
    <row r="53">
      <c r="A53" s="5" t="inlineStr">
        <is>
          <t>refrain</t>
        </is>
      </c>
      <c r="B53" s="5" t="inlineStr">
        <is>
          <t>chant 2</t>
        </is>
      </c>
      <c r="C53" s="5" t="inlineStr">
        <is>
          <t>lead</t>
        </is>
      </c>
      <c r="D53" s="5" t="n">
        <v>1</v>
      </c>
      <c r="E53" s="5" t="n">
        <v>1</v>
      </c>
      <c r="F53" s="5" t="inlineStr">
        <is>
          <t>IV</t>
        </is>
      </c>
      <c r="G53" s="5" t="inlineStr">
        <is>
          <t>G</t>
        </is>
      </c>
      <c r="H53" s="5" t="inlineStr">
        <is>
          <t>T</t>
        </is>
      </c>
      <c r="I53" s="5" t="inlineStr">
        <is>
          <t>2</t>
        </is>
      </c>
      <c r="J53" s="5" t="inlineStr">
        <is>
          <t>E</t>
        </is>
      </c>
      <c r="K53" s="5" t="n">
        <v>14</v>
      </c>
      <c r="L53" s="5">
        <f>IF(OR(C53&lt;&gt;C52,K53="",K52=""),"",K53-K52)</f>
        <v/>
      </c>
      <c r="M53" s="5">
        <f>IF(L53="","",IF(L53=0,"repeat",IF(ABS(L53)&lt;=2,"step","leap")))</f>
        <v/>
      </c>
      <c r="N53" s="5">
        <f>IF(F53&lt;&gt;F52,"Y","")</f>
        <v/>
      </c>
      <c r="O53" s="6" t="inlineStr">
        <is>
          <t>N</t>
        </is>
      </c>
      <c r="P53" s="6" t="inlineStr">
        <is>
          <t>S</t>
        </is>
      </c>
      <c r="Q53" s="6" t="inlineStr">
        <is>
          <t>open</t>
        </is>
      </c>
      <c r="R53" s="7" t="n"/>
      <c r="S53" s="5" t="n"/>
      <c r="T53" s="5" t="n"/>
      <c r="U53" s="8" t="inlineStr">
        <is>
          <t>chord change to IV</t>
        </is>
      </c>
    </row>
    <row r="54">
      <c r="A54" s="5" t="inlineStr">
        <is>
          <t>refrain</t>
        </is>
      </c>
      <c r="B54" s="5" t="inlineStr">
        <is>
          <t>chant 2</t>
        </is>
      </c>
      <c r="C54" s="5" t="inlineStr">
        <is>
          <t>lead</t>
        </is>
      </c>
      <c r="D54" s="5" t="n">
        <v>1</v>
      </c>
      <c r="E54" s="5" t="n">
        <v>1.5</v>
      </c>
      <c r="F54" s="5" t="inlineStr">
        <is>
          <t>IV</t>
        </is>
      </c>
      <c r="G54" s="5" t="inlineStr">
        <is>
          <t>G</t>
        </is>
      </c>
      <c r="H54" s="5" t="inlineStr">
        <is>
          <t>T</t>
        </is>
      </c>
      <c r="I54" s="5" t="inlineStr">
        <is>
          <t>2</t>
        </is>
      </c>
      <c r="J54" s="5" t="inlineStr">
        <is>
          <t>E</t>
        </is>
      </c>
      <c r="K54" s="5" t="n">
        <v>14</v>
      </c>
      <c r="L54" s="5">
        <f>IF(OR(C54&lt;&gt;C53,K54="",K53=""),"",K54-K53)</f>
        <v/>
      </c>
      <c r="M54" s="5">
        <f>IF(L54="","",IF(L54=0,"repeat",IF(ABS(L54)&lt;=2,"step","leap")))</f>
        <v/>
      </c>
      <c r="N54" s="5">
        <f>IF(F54&lt;&gt;F53,"Y","")</f>
        <v/>
      </c>
      <c r="O54" s="6" t="inlineStr">
        <is>
          <t>N</t>
        </is>
      </c>
      <c r="P54" s="6" t="inlineStr">
        <is>
          <t>u</t>
        </is>
      </c>
      <c r="Q54" s="6" t="inlineStr">
        <is>
          <t>closed</t>
        </is>
      </c>
      <c r="R54" s="7" t="n"/>
      <c r="S54" s="5" t="n"/>
      <c r="T54" s="5" t="n"/>
      <c r="U54" s="8" t="inlineStr"/>
    </row>
    <row r="55">
      <c r="A55" s="5" t="inlineStr">
        <is>
          <t>refrain</t>
        </is>
      </c>
      <c r="B55" s="5" t="inlineStr">
        <is>
          <t>chant 2</t>
        </is>
      </c>
      <c r="C55" s="5" t="inlineStr">
        <is>
          <t>lead</t>
        </is>
      </c>
      <c r="D55" s="5" t="n">
        <v>1</v>
      </c>
      <c r="E55" s="5" t="n">
        <v>2</v>
      </c>
      <c r="F55" s="5" t="inlineStr">
        <is>
          <t>IV</t>
        </is>
      </c>
      <c r="G55" s="5" t="inlineStr">
        <is>
          <t>G</t>
        </is>
      </c>
      <c r="H55" s="5" t="inlineStr">
        <is>
          <t>T</t>
        </is>
      </c>
      <c r="I55" s="5" t="inlineStr">
        <is>
          <t>2</t>
        </is>
      </c>
      <c r="J55" s="5" t="inlineStr">
        <is>
          <t>E</t>
        </is>
      </c>
      <c r="K55" s="5" t="n">
        <v>14</v>
      </c>
      <c r="L55" s="5">
        <f>IF(OR(C55&lt;&gt;C54,K55="",K54=""),"",K55-K54)</f>
        <v/>
      </c>
      <c r="M55" s="5">
        <f>IF(L55="","",IF(L55=0,"repeat",IF(ABS(L55)&lt;=2,"step","leap")))</f>
        <v/>
      </c>
      <c r="N55" s="5">
        <f>IF(F55&lt;&gt;F54,"Y","")</f>
        <v/>
      </c>
      <c r="O55" s="6" t="inlineStr">
        <is>
          <t>N</t>
        </is>
      </c>
      <c r="P55" s="6" t="inlineStr">
        <is>
          <t>S</t>
        </is>
      </c>
      <c r="Q55" s="6" t="inlineStr">
        <is>
          <t>open</t>
        </is>
      </c>
      <c r="R55" s="7" t="n"/>
      <c r="S55" s="5" t="n"/>
      <c r="T55" s="5" t="n"/>
      <c r="U55" s="8" t="inlineStr"/>
    </row>
    <row r="56">
      <c r="A56" s="5" t="inlineStr">
        <is>
          <t>refrain</t>
        </is>
      </c>
      <c r="B56" s="5" t="inlineStr">
        <is>
          <t>chant 2</t>
        </is>
      </c>
      <c r="C56" s="5" t="inlineStr">
        <is>
          <t>lead</t>
        </is>
      </c>
      <c r="D56" s="5" t="n">
        <v>1</v>
      </c>
      <c r="E56" s="5" t="n">
        <v>2.5</v>
      </c>
      <c r="F56" s="5" t="inlineStr">
        <is>
          <t>IV</t>
        </is>
      </c>
      <c r="G56" s="5" t="inlineStr">
        <is>
          <t>G</t>
        </is>
      </c>
      <c r="H56" s="5" t="inlineStr">
        <is>
          <t>T</t>
        </is>
      </c>
      <c r="I56" s="5" t="inlineStr">
        <is>
          <t>2</t>
        </is>
      </c>
      <c r="J56" s="5" t="inlineStr">
        <is>
          <t>E</t>
        </is>
      </c>
      <c r="K56" s="5" t="n">
        <v>14</v>
      </c>
      <c r="L56" s="5">
        <f>IF(OR(C56&lt;&gt;C55,K56="",K55=""),"",K56-K55)</f>
        <v/>
      </c>
      <c r="M56" s="5">
        <f>IF(L56="","",IF(L56=0,"repeat",IF(ABS(L56)&lt;=2,"step","leap")))</f>
        <v/>
      </c>
      <c r="N56" s="5">
        <f>IF(F56&lt;&gt;F55,"Y","")</f>
        <v/>
      </c>
      <c r="O56" s="6" t="inlineStr">
        <is>
          <t>N</t>
        </is>
      </c>
      <c r="P56" s="6" t="inlineStr">
        <is>
          <t>u</t>
        </is>
      </c>
      <c r="Q56" s="6" t="inlineStr">
        <is>
          <t>open</t>
        </is>
      </c>
      <c r="R56" s="7" t="n"/>
      <c r="S56" s="5" t="n"/>
      <c r="T56" s="5" t="n"/>
      <c r="U56" s="8" t="inlineStr"/>
    </row>
    <row r="57">
      <c r="A57" s="5" t="inlineStr">
        <is>
          <t>refrain</t>
        </is>
      </c>
      <c r="B57" s="5" t="inlineStr">
        <is>
          <t>chant 2</t>
        </is>
      </c>
      <c r="C57" s="5" t="inlineStr">
        <is>
          <t>lead</t>
        </is>
      </c>
      <c r="D57" s="5" t="n">
        <v>1</v>
      </c>
      <c r="E57" s="5" t="n">
        <v>3</v>
      </c>
      <c r="F57" s="5" t="inlineStr">
        <is>
          <t>IV</t>
        </is>
      </c>
      <c r="G57" s="5" t="inlineStr">
        <is>
          <t>G</t>
        </is>
      </c>
      <c r="H57" s="5" t="inlineStr">
        <is>
          <t>T</t>
        </is>
      </c>
      <c r="I57" s="5" t="inlineStr">
        <is>
          <t>2</t>
        </is>
      </c>
      <c r="J57" s="5" t="inlineStr">
        <is>
          <t>E</t>
        </is>
      </c>
      <c r="K57" s="5" t="n">
        <v>14</v>
      </c>
      <c r="L57" s="5">
        <f>IF(OR(C57&lt;&gt;C56,K57="",K56=""),"",K57-K56)</f>
        <v/>
      </c>
      <c r="M57" s="5">
        <f>IF(L57="","",IF(L57=0,"repeat",IF(ABS(L57)&lt;=2,"step","leap")))</f>
        <v/>
      </c>
      <c r="N57" s="5">
        <f>IF(F57&lt;&gt;F56,"Y","")</f>
        <v/>
      </c>
      <c r="O57" s="6" t="inlineStr">
        <is>
          <t>N</t>
        </is>
      </c>
      <c r="P57" s="6" t="inlineStr">
        <is>
          <t>S</t>
        </is>
      </c>
      <c r="Q57" s="6" t="inlineStr">
        <is>
          <t>open</t>
        </is>
      </c>
      <c r="R57" s="7" t="n"/>
      <c r="S57" s="5" t="n"/>
      <c r="T57" s="5" t="n"/>
      <c r="U57" s="8" t="inlineStr"/>
    </row>
    <row r="58">
      <c r="A58" s="5" t="inlineStr">
        <is>
          <t>refrain</t>
        </is>
      </c>
      <c r="B58" s="5" t="inlineStr">
        <is>
          <t>chant 2</t>
        </is>
      </c>
      <c r="C58" s="5" t="inlineStr">
        <is>
          <t>lead</t>
        </is>
      </c>
      <c r="D58" s="5" t="n">
        <v>1</v>
      </c>
      <c r="E58" s="5" t="n">
        <v>3.5</v>
      </c>
      <c r="F58" s="5" t="inlineStr">
        <is>
          <t>IV</t>
        </is>
      </c>
      <c r="G58" s="5" t="inlineStr">
        <is>
          <t>G</t>
        </is>
      </c>
      <c r="H58" s="5" t="inlineStr">
        <is>
          <t>T</t>
        </is>
      </c>
      <c r="I58" s="5" t="inlineStr">
        <is>
          <t>3</t>
        </is>
      </c>
      <c r="J58" s="5" t="inlineStr">
        <is>
          <t>F#</t>
        </is>
      </c>
      <c r="K58" s="5" t="n">
        <v>16</v>
      </c>
      <c r="L58" s="5">
        <f>IF(OR(C58&lt;&gt;C57,K58="",K57=""),"",K58-K57)</f>
        <v/>
      </c>
      <c r="M58" s="5">
        <f>IF(L58="","",IF(L58=0,"repeat",IF(ABS(L58)&lt;=2,"step","leap")))</f>
        <v/>
      </c>
      <c r="N58" s="5">
        <f>IF(F58&lt;&gt;F57,"Y","")</f>
        <v/>
      </c>
      <c r="O58" s="6" t="inlineStr">
        <is>
          <t>N</t>
        </is>
      </c>
      <c r="P58" s="6" t="inlineStr">
        <is>
          <t>u</t>
        </is>
      </c>
      <c r="Q58" s="6" t="inlineStr">
        <is>
          <t>open</t>
        </is>
      </c>
      <c r="R58" s="7" t="n"/>
      <c r="S58" s="5" t="n"/>
      <c r="T58" s="5" t="n"/>
      <c r="U58" s="8" t="inlineStr"/>
    </row>
    <row r="59">
      <c r="A59" s="5" t="inlineStr">
        <is>
          <t>refrain</t>
        </is>
      </c>
      <c r="B59" s="5" t="inlineStr">
        <is>
          <t>chant 2</t>
        </is>
      </c>
      <c r="C59" s="5" t="inlineStr">
        <is>
          <t>lead</t>
        </is>
      </c>
      <c r="D59" s="5" t="n">
        <v>2</v>
      </c>
      <c r="E59" s="5" t="n">
        <v>1</v>
      </c>
      <c r="F59" s="5" t="inlineStr">
        <is>
          <t>I</t>
        </is>
      </c>
      <c r="G59" s="5" t="inlineStr">
        <is>
          <t>D</t>
        </is>
      </c>
      <c r="H59" s="5" t="inlineStr">
        <is>
          <t>T</t>
        </is>
      </c>
      <c r="I59" s="5" t="inlineStr">
        <is>
          <t>1</t>
        </is>
      </c>
      <c r="J59" s="5" t="inlineStr">
        <is>
          <t>D</t>
        </is>
      </c>
      <c r="K59" s="5" t="n">
        <v>12</v>
      </c>
      <c r="L59" s="5">
        <f>IF(OR(C59&lt;&gt;C58,K59="",K58=""),"",K59-K58)</f>
        <v/>
      </c>
      <c r="M59" s="5">
        <f>IF(L59="","",IF(L59=0,"repeat",IF(ABS(L59)&lt;=2,"step","leap")))</f>
        <v/>
      </c>
      <c r="N59" s="5">
        <f>IF(F59&lt;&gt;F58,"Y","")</f>
        <v/>
      </c>
      <c r="O59" s="6" t="inlineStr">
        <is>
          <t>Y</t>
        </is>
      </c>
      <c r="P59" s="6" t="inlineStr">
        <is>
          <t>S</t>
        </is>
      </c>
      <c r="Q59" s="6" t="inlineStr">
        <is>
          <t>closed</t>
        </is>
      </c>
      <c r="R59" s="7" t="n"/>
      <c r="S59" s="5" t="n"/>
      <c r="T59" s="5" t="n"/>
      <c r="U59" s="8" t="inlineStr">
        <is>
          <t>1 over I: resolved (plagal IV to I)</t>
        </is>
      </c>
    </row>
    <row r="60">
      <c r="A60" s="5" t="inlineStr">
        <is>
          <t>refrain</t>
        </is>
      </c>
      <c r="B60" s="5" t="inlineStr">
        <is>
          <t>chant 1 pad</t>
        </is>
      </c>
      <c r="C60" s="5" t="inlineStr">
        <is>
          <t>chorus</t>
        </is>
      </c>
      <c r="D60" s="5" t="n">
        <v>1</v>
      </c>
      <c r="E60" s="5" t="n">
        <v>1</v>
      </c>
      <c r="F60" s="5" t="inlineStr">
        <is>
          <t>V</t>
        </is>
      </c>
      <c r="G60" s="5" t="inlineStr">
        <is>
          <t>A</t>
        </is>
      </c>
      <c r="H60" s="5" t="inlineStr">
        <is>
          <t>T</t>
        </is>
      </c>
      <c r="I60" s="5" t="inlineStr">
        <is>
          <t>5+7+2</t>
        </is>
      </c>
      <c r="J60" s="5" t="inlineStr">
        <is>
          <t>A+C#+E</t>
        </is>
      </c>
      <c r="K60" s="5" t="n"/>
      <c r="L60" s="5">
        <f>IF(OR(C60&lt;&gt;C59,K60="",K59=""),"",K60-K59)</f>
        <v/>
      </c>
      <c r="M60" s="5">
        <f>IF(L60="","",IF(L60=0,"repeat",IF(ABS(L60)&lt;=2,"step","leap")))</f>
        <v/>
      </c>
      <c r="N60" s="5">
        <f>IF(F60&lt;&gt;F59,"Y","")</f>
        <v/>
      </c>
      <c r="O60" s="6" t="inlineStr">
        <is>
          <t>Y</t>
        </is>
      </c>
      <c r="P60" s="6" t="inlineStr"/>
      <c r="Q60" s="6" t="inlineStr"/>
      <c r="R60" s="7" t="n"/>
      <c r="S60" s="5" t="n"/>
      <c r="T60" s="5" t="n"/>
      <c r="U60" s="8" t="inlineStr">
        <is>
          <t>block triad pad (V chord tones), tied across the bar; wordless vocable</t>
        </is>
      </c>
    </row>
    <row r="61">
      <c r="A61" s="5" t="inlineStr">
        <is>
          <t>refrain</t>
        </is>
      </c>
      <c r="B61" s="5" t="inlineStr">
        <is>
          <t>chant 1 pad</t>
        </is>
      </c>
      <c r="C61" s="5" t="inlineStr">
        <is>
          <t>chorus</t>
        </is>
      </c>
      <c r="D61" s="5" t="n">
        <v>2</v>
      </c>
      <c r="E61" s="5" t="n">
        <v>1</v>
      </c>
      <c r="F61" s="5" t="inlineStr">
        <is>
          <t>V</t>
        </is>
      </c>
      <c r="G61" s="5" t="inlineStr">
        <is>
          <t>A</t>
        </is>
      </c>
      <c r="H61" s="5" t="inlineStr">
        <is>
          <t>T</t>
        </is>
      </c>
      <c r="I61" s="5" t="inlineStr">
        <is>
          <t>5+7+2</t>
        </is>
      </c>
      <c r="J61" s="5" t="inlineStr">
        <is>
          <t>A+C#+E</t>
        </is>
      </c>
      <c r="K61" s="5" t="n"/>
      <c r="L61" s="5">
        <f>IF(OR(C61&lt;&gt;C60,K61="",K60=""),"",K61-K60)</f>
        <v/>
      </c>
      <c r="M61" s="5">
        <f>IF(L61="","",IF(L61=0,"repeat",IF(ABS(L61)&lt;=2,"step","leap")))</f>
        <v/>
      </c>
      <c r="N61" s="5">
        <f>IF(F61&lt;&gt;F60,"Y","")</f>
        <v/>
      </c>
      <c r="O61" s="6" t="inlineStr">
        <is>
          <t>Y</t>
        </is>
      </c>
      <c r="P61" s="6" t="inlineStr"/>
      <c r="Q61" s="6" t="inlineStr"/>
      <c r="R61" s="7" t="n"/>
      <c r="S61" s="5" t="n"/>
      <c r="T61" s="5" t="n"/>
      <c r="U61" s="8" t="inlineStr">
        <is>
          <t>held, dotted release with fall-off</t>
        </is>
      </c>
    </row>
    <row r="62">
      <c r="A62" s="5" t="inlineStr">
        <is>
          <t>refrain</t>
        </is>
      </c>
      <c r="B62" s="5" t="inlineStr">
        <is>
          <t>chant 2 pad</t>
        </is>
      </c>
      <c r="C62" s="5" t="inlineStr">
        <is>
          <t>chorus</t>
        </is>
      </c>
      <c r="D62" s="5" t="n">
        <v>1</v>
      </c>
      <c r="E62" s="5" t="n">
        <v>1</v>
      </c>
      <c r="F62" s="5" t="inlineStr">
        <is>
          <t>IV</t>
        </is>
      </c>
      <c r="G62" s="5" t="inlineStr">
        <is>
          <t>G</t>
        </is>
      </c>
      <c r="H62" s="5" t="inlineStr">
        <is>
          <t>T</t>
        </is>
      </c>
      <c r="I62" s="5" t="inlineStr">
        <is>
          <t>4+6+1</t>
        </is>
      </c>
      <c r="J62" s="5" t="inlineStr">
        <is>
          <t>G+B+D</t>
        </is>
      </c>
      <c r="K62" s="5" t="n"/>
      <c r="L62" s="5">
        <f>IF(OR(C62&lt;&gt;C61,K62="",K61=""),"",K62-K61)</f>
        <v/>
      </c>
      <c r="M62" s="5">
        <f>IF(L62="","",IF(L62=0,"repeat",IF(ABS(L62)&lt;=2,"step","leap")))</f>
        <v/>
      </c>
      <c r="N62" s="5">
        <f>IF(F62&lt;&gt;F61,"Y","")</f>
        <v/>
      </c>
      <c r="O62" s="6" t="inlineStr">
        <is>
          <t>Y</t>
        </is>
      </c>
      <c r="P62" s="6" t="inlineStr"/>
      <c r="Q62" s="6" t="inlineStr"/>
      <c r="R62" s="7" t="n"/>
      <c r="S62" s="5" t="n"/>
      <c r="T62" s="5" t="n"/>
      <c r="U62" s="8" t="inlineStr">
        <is>
          <t>block triad pad (IV chord tones), tied into the next bar</t>
        </is>
      </c>
    </row>
    <row r="63">
      <c r="A63" s="5" t="inlineStr">
        <is>
          <t>refrain</t>
        </is>
      </c>
      <c r="B63" s="5" t="inlineStr">
        <is>
          <t>chant 2 pad</t>
        </is>
      </c>
      <c r="C63" s="5" t="inlineStr">
        <is>
          <t>chorus</t>
        </is>
      </c>
      <c r="D63" s="5" t="n">
        <v>2</v>
      </c>
      <c r="E63" s="5" t="n">
        <v>1</v>
      </c>
      <c r="F63" s="5" t="inlineStr">
        <is>
          <t>I</t>
        </is>
      </c>
      <c r="G63" s="5" t="inlineStr">
        <is>
          <t>D</t>
        </is>
      </c>
      <c r="H63" s="5" t="inlineStr">
        <is>
          <t>T</t>
        </is>
      </c>
      <c r="I63" s="5" t="inlineStr">
        <is>
          <t>4+6+1</t>
        </is>
      </c>
      <c r="J63" s="5" t="inlineStr">
        <is>
          <t>G+B+D</t>
        </is>
      </c>
      <c r="K63" s="5" t="n"/>
      <c r="L63" s="5">
        <f>IF(OR(C63&lt;&gt;C62,K63="",K62=""),"",K63-K62)</f>
        <v/>
      </c>
      <c r="M63" s="5">
        <f>IF(L63="","",IF(L63=0,"repeat",IF(ABS(L63)&lt;=2,"step","leap")))</f>
        <v/>
      </c>
      <c r="N63" s="5">
        <f>IF(F63&lt;&gt;F62,"Y","")</f>
        <v/>
      </c>
      <c r="O63" s="6" t="inlineStr">
        <is>
          <t>N</t>
        </is>
      </c>
      <c r="P63" s="6" t="inlineStr"/>
      <c r="Q63" s="6" t="inlineStr"/>
      <c r="R63" s="7" t="n"/>
      <c r="S63" s="5" t="n"/>
      <c r="T63" s="5" t="n"/>
      <c r="U63" s="8" t="inlineStr">
        <is>
          <t>pad HELD over the I chord - suspension against the resolution, then fall-off (pitches approximate)</t>
        </is>
      </c>
    </row>
  </sheetData>
  <autoFilter ref="A1:U6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2026-07-12T03:33:46Z</dcterms:created>
  <dcterms:modified xsi:type="dcterms:W3CDTF">2026-07-12T03:33:46Z</dcterms:modified>
</cp:coreProperties>
</file>