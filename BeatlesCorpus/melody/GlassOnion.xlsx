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Notes" sheetId="2" state="visible" r:id="rId2"/>
  </sheets>
  <definedNames>
    <definedName name="_xlnm._FilterDatabase" localSheetId="1" hidden="1">'Notes'!$A$1:$U$22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Glass Onion - melody/chord/word sync</t>
        </is>
      </c>
    </row>
    <row r="2">
      <c r="A2" s="2" t="inlineStr">
        <is>
          <t>Key: A MINOR. One row per sung LEAD note; verse/refrain repeat (encoded once).</t>
        </is>
      </c>
    </row>
    <row r="3">
      <c r="A3" s="2" t="inlineStr"/>
    </row>
    <row r="4">
      <c r="A4" s="2" t="inlineStr">
        <is>
          <t>Chords + T/PD/D functions from the corpus file (Isophonics + BeatlesFC, White Album, annotator A).</t>
        </is>
      </c>
    </row>
    <row r="5">
      <c r="A5" s="2" t="inlineStr">
        <is>
          <t>Melody hand-read from the Complete Scores. This is a low, narrow, bluesy Lennon chant - range</t>
        </is>
      </c>
    </row>
    <row r="6">
      <c r="A6" s="2" t="inlineStr">
        <is>
          <t>roughly a 6th, mostly b3/2/1 with b6 as the melodic peak. Bluesy pitches flagged APPROX need</t>
        </is>
      </c>
    </row>
    <row r="7">
      <c r="A7" s="2" t="inlineStr">
        <is>
          <t>an ear-check. The chromatic diminished-chord OUTRO is instrumental (one placeholder row, voice=none).</t>
        </is>
      </c>
    </row>
    <row r="8">
      <c r="A8" s="2" t="inlineStr">
        <is>
          <t>The score also prints a lower melodic staff labelled (Strings)/(Contra-Bass) - that is the string</t>
        </is>
      </c>
    </row>
    <row r="9">
      <c r="A9" s="2" t="inlineStr">
        <is>
          <t>arrangement, NOT a backing vocal, so it is not transcribed here. Vocal sounds an octave below</t>
        </is>
      </c>
    </row>
    <row r="10">
      <c r="A10" s="2" t="inlineStr">
        <is>
          <t>written; semis = semitones above A3 (can be negative - the vocal dips below the tonic).</t>
        </is>
      </c>
    </row>
    <row r="11">
      <c r="A11" s="2" t="inlineStr"/>
    </row>
    <row r="12">
      <c r="A12" s="2" t="inlineStr">
        <is>
          <t>YELLOW column 'word' is yours to fill while listening - one word/syllable per row.</t>
        </is>
      </c>
    </row>
    <row r="13">
      <c r="A13" s="2" t="inlineStr"/>
    </row>
    <row r="14">
      <c r="A14" s="2" t="inlineStr">
        <is>
          <t>Study value: minor-key modal harmony (i, bVI7, bvii7, bIII, IV7-with-raised-6) under a melody</t>
        </is>
      </c>
    </row>
    <row r="15">
      <c r="A15" s="2" t="inlineStr">
        <is>
          <t>that barely leaves the b3-2-1 core; the one bright note is F# (raised 6) over D7 in the bridge.</t>
        </is>
      </c>
    </row>
    <row r="16">
      <c r="A16" s="2" t="inlineStr"/>
    </row>
    <row r="17">
      <c r="A17" s="2" t="inlineStr">
        <is>
          <t>Column guide as in the other melody workbooks (21 cols; interval/motion/chord_change formulas L/M/N).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7" customWidth="1" min="3" max="3"/>
    <col width="5" customWidth="1" min="4" max="4"/>
    <col width="6" customWidth="1" min="5" max="5"/>
    <col width="9" customWidth="1" min="6" max="6"/>
    <col width="11" customWidth="1" min="7" max="7"/>
    <col width="9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13" customWidth="1" min="14" max="14"/>
    <col width="11" customWidth="1" min="15" max="15"/>
    <col width="7" customWidth="1" min="16" max="16"/>
    <col width="8" customWidth="1" min="17" max="17"/>
    <col width="14" customWidth="1" min="18" max="18"/>
    <col width="12" customWidth="1" min="19" max="19"/>
    <col width="13" customWidth="1" min="20" max="20"/>
    <col width="66" customWidth="1" min="21" max="21"/>
  </cols>
  <sheetData>
    <row r="1">
      <c r="A1" s="3" t="inlineStr">
        <is>
          <t>section</t>
        </is>
      </c>
      <c r="B1" s="3" t="inlineStr">
        <is>
          <t>phrase</t>
        </is>
      </c>
      <c r="C1" s="3" t="inlineStr">
        <is>
          <t>voice</t>
        </is>
      </c>
      <c r="D1" s="3" t="inlineStr">
        <is>
          <t>bar</t>
        </is>
      </c>
      <c r="E1" s="3" t="inlineStr">
        <is>
          <t>beat</t>
        </is>
      </c>
      <c r="F1" s="3" t="inlineStr">
        <is>
          <t>chord</t>
        </is>
      </c>
      <c r="G1" s="3" t="inlineStr">
        <is>
          <t>chord_letter</t>
        </is>
      </c>
      <c r="H1" s="3" t="inlineStr">
        <is>
          <t>function</t>
        </is>
      </c>
      <c r="I1" s="3" t="inlineStr">
        <is>
          <t>degree</t>
        </is>
      </c>
      <c r="J1" s="3" t="inlineStr">
        <is>
          <t>note</t>
        </is>
      </c>
      <c r="K1" s="3" t="inlineStr">
        <is>
          <t>semis</t>
        </is>
      </c>
      <c r="L1" s="3" t="inlineStr">
        <is>
          <t>interval</t>
        </is>
      </c>
      <c r="M1" s="3" t="inlineStr">
        <is>
          <t>motion</t>
        </is>
      </c>
      <c r="N1" s="3" t="inlineStr">
        <is>
          <t>chord_change</t>
        </is>
      </c>
      <c r="O1" s="3" t="inlineStr">
        <is>
          <t>chord_tone</t>
        </is>
      </c>
      <c r="P1" s="3" t="inlineStr">
        <is>
          <t>stress</t>
        </is>
      </c>
      <c r="Q1" s="3" t="inlineStr">
        <is>
          <t>vowel</t>
        </is>
      </c>
      <c r="R1" s="3" t="inlineStr">
        <is>
          <t>word</t>
        </is>
      </c>
      <c r="S1" s="3" t="inlineStr">
        <is>
          <t>harm_degrees</t>
        </is>
      </c>
      <c r="T1" s="3" t="inlineStr">
        <is>
          <t>harm_intervals</t>
        </is>
      </c>
      <c r="U1" s="3" t="inlineStr">
        <is>
          <t>comment</t>
        </is>
      </c>
    </row>
    <row r="2">
      <c r="A2" s="4" t="inlineStr">
        <is>
          <t>verse</t>
        </is>
      </c>
      <c r="B2" s="4" t="inlineStr">
        <is>
          <t>v1</t>
        </is>
      </c>
      <c r="C2" s="4" t="inlineStr">
        <is>
          <t>lead</t>
        </is>
      </c>
      <c r="D2" s="4" t="n">
        <v>1</v>
      </c>
      <c r="E2" s="4" t="n">
        <v>1.5</v>
      </c>
      <c r="F2" s="4" t="inlineStr">
        <is>
          <t>i</t>
        </is>
      </c>
      <c r="G2" s="4" t="inlineStr">
        <is>
          <t>Am</t>
        </is>
      </c>
      <c r="H2" s="4" t="inlineStr">
        <is>
          <t>T</t>
        </is>
      </c>
      <c r="I2" s="4" t="inlineStr">
        <is>
          <t>b3</t>
        </is>
      </c>
      <c r="J2" s="4" t="inlineStr">
        <is>
          <t>C4</t>
        </is>
      </c>
      <c r="K2" s="4" t="n">
        <v>3</v>
      </c>
      <c r="L2" s="4" t="inlineStr"/>
      <c r="M2" s="4">
        <f>IF(L2="","",IF(L2=0,"repeat",IF(ABS(L2)&lt;=2,"step","leap")))</f>
        <v/>
      </c>
      <c r="N2" s="4">
        <f>"Y"</f>
        <v/>
      </c>
      <c r="O2" s="5" t="inlineStr">
        <is>
          <t>Y</t>
        </is>
      </c>
      <c r="P2" s="5" t="inlineStr">
        <is>
          <t>u</t>
        </is>
      </c>
      <c r="Q2" s="5" t="inlineStr">
        <is>
          <t>closed</t>
        </is>
      </c>
      <c r="R2" s="6" t="n"/>
      <c r="S2" s="4" t="n"/>
      <c r="T2" s="4" t="n"/>
      <c r="U2" s="7" t="inlineStr">
        <is>
          <t>'Well' pickup; low narrow bluesy chant</t>
        </is>
      </c>
    </row>
    <row r="3">
      <c r="A3" s="4" t="inlineStr">
        <is>
          <t>verse</t>
        </is>
      </c>
      <c r="B3" s="4" t="inlineStr">
        <is>
          <t>v1</t>
        </is>
      </c>
      <c r="C3" s="4" t="inlineStr">
        <is>
          <t>lead</t>
        </is>
      </c>
      <c r="D3" s="4" t="n">
        <v>2</v>
      </c>
      <c r="E3" s="4" t="n">
        <v>1</v>
      </c>
      <c r="F3" s="4" t="inlineStr">
        <is>
          <t>i</t>
        </is>
      </c>
      <c r="G3" s="4" t="inlineStr">
        <is>
          <t>Am</t>
        </is>
      </c>
      <c r="H3" s="4" t="inlineStr">
        <is>
          <t>T</t>
        </is>
      </c>
      <c r="I3" s="4" t="inlineStr">
        <is>
          <t>b3</t>
        </is>
      </c>
      <c r="J3" s="4" t="inlineStr">
        <is>
          <t>C4</t>
        </is>
      </c>
      <c r="K3" s="4" t="n">
        <v>3</v>
      </c>
      <c r="L3" s="4">
        <f>IF(OR(C3&lt;&gt;C2,K3="",K2=""),"",K3-K2)</f>
        <v/>
      </c>
      <c r="M3" s="4">
        <f>IF(L3="","",IF(L3=0,"repeat",IF(ABS(L3)&lt;=2,"step","leap")))</f>
        <v/>
      </c>
      <c r="N3" s="4">
        <f>IF(F3&lt;&gt;F2,"Y","")</f>
        <v/>
      </c>
      <c r="O3" s="5" t="inlineStr">
        <is>
          <t>Y</t>
        </is>
      </c>
      <c r="P3" s="5" t="inlineStr">
        <is>
          <t>S</t>
        </is>
      </c>
      <c r="Q3" s="5" t="inlineStr">
        <is>
          <t>open</t>
        </is>
      </c>
      <c r="R3" s="6" t="n"/>
      <c r="S3" s="4" t="n"/>
      <c r="T3" s="4" t="n"/>
      <c r="U3" s="7" t="inlineStr">
        <is>
          <t>'here's' on b3 (minor color)</t>
        </is>
      </c>
    </row>
    <row r="4">
      <c r="A4" s="4" t="inlineStr">
        <is>
          <t>verse</t>
        </is>
      </c>
      <c r="B4" s="4" t="inlineStr">
        <is>
          <t>v1</t>
        </is>
      </c>
      <c r="C4" s="4" t="inlineStr">
        <is>
          <t>lead</t>
        </is>
      </c>
      <c r="D4" s="4" t="n">
        <v>2</v>
      </c>
      <c r="E4" s="4" t="n">
        <v>1.5</v>
      </c>
      <c r="F4" s="4" t="inlineStr">
        <is>
          <t>i</t>
        </is>
      </c>
      <c r="G4" s="4" t="inlineStr">
        <is>
          <t>Am</t>
        </is>
      </c>
      <c r="H4" s="4" t="inlineStr">
        <is>
          <t>T</t>
        </is>
      </c>
      <c r="I4" s="4" t="inlineStr">
        <is>
          <t>2</t>
        </is>
      </c>
      <c r="J4" s="4" t="inlineStr">
        <is>
          <t>B3</t>
        </is>
      </c>
      <c r="K4" s="4" t="n">
        <v>2</v>
      </c>
      <c r="L4" s="4">
        <f>IF(OR(C4&lt;&gt;C3,K4="",K3=""),"",K4-K3)</f>
        <v/>
      </c>
      <c r="M4" s="4">
        <f>IF(L4="","",IF(L4=0,"repeat",IF(ABS(L4)&lt;=2,"step","leap")))</f>
        <v/>
      </c>
      <c r="N4" s="4">
        <f>IF(F4&lt;&gt;F3,"Y","")</f>
        <v/>
      </c>
      <c r="O4" s="5" t="inlineStr">
        <is>
          <t>N</t>
        </is>
      </c>
      <c r="P4" s="5" t="inlineStr">
        <is>
          <t>u</t>
        </is>
      </c>
      <c r="Q4" s="5" t="inlineStr">
        <is>
          <t>open</t>
        </is>
      </c>
      <c r="R4" s="6" t="n"/>
      <c r="S4" s="4" t="n"/>
      <c r="T4" s="4" t="n"/>
      <c r="U4" s="7" t="inlineStr">
        <is>
          <t>'a-'</t>
        </is>
      </c>
    </row>
    <row r="5">
      <c r="A5" s="4" t="inlineStr">
        <is>
          <t>verse</t>
        </is>
      </c>
      <c r="B5" s="4" t="inlineStr">
        <is>
          <t>v1</t>
        </is>
      </c>
      <c r="C5" s="4" t="inlineStr">
        <is>
          <t>lead</t>
        </is>
      </c>
      <c r="D5" s="4" t="n">
        <v>2</v>
      </c>
      <c r="E5" s="4" t="n">
        <v>2</v>
      </c>
      <c r="F5" s="4" t="inlineStr">
        <is>
          <t>i</t>
        </is>
      </c>
      <c r="G5" s="4" t="inlineStr">
        <is>
          <t>Am</t>
        </is>
      </c>
      <c r="H5" s="4" t="inlineStr">
        <is>
          <t>T</t>
        </is>
      </c>
      <c r="I5" s="4" t="inlineStr">
        <is>
          <t>b3</t>
        </is>
      </c>
      <c r="J5" s="4" t="inlineStr">
        <is>
          <t>C4</t>
        </is>
      </c>
      <c r="K5" s="4" t="n">
        <v>3</v>
      </c>
      <c r="L5" s="4">
        <f>IF(OR(C5&lt;&gt;C4,K5="",K4=""),"",K5-K4)</f>
        <v/>
      </c>
      <c r="M5" s="4">
        <f>IF(L5="","",IF(L5=0,"repeat",IF(ABS(L5)&lt;=2,"step","leap")))</f>
        <v/>
      </c>
      <c r="N5" s="4">
        <f>IF(F5&lt;&gt;F4,"Y","")</f>
        <v/>
      </c>
      <c r="O5" s="5" t="inlineStr">
        <is>
          <t>Y</t>
        </is>
      </c>
      <c r="P5" s="5" t="inlineStr">
        <is>
          <t>S</t>
        </is>
      </c>
      <c r="Q5" s="5" t="inlineStr">
        <is>
          <t>closed</t>
        </is>
      </c>
      <c r="R5" s="6" t="n"/>
      <c r="S5" s="4" t="n"/>
      <c r="T5" s="4" t="n"/>
      <c r="U5" s="7" t="inlineStr">
        <is>
          <t>'no-ther'</t>
        </is>
      </c>
    </row>
    <row r="6">
      <c r="A6" s="4" t="inlineStr">
        <is>
          <t>verse</t>
        </is>
      </c>
      <c r="B6" s="4" t="inlineStr">
        <is>
          <t>v1</t>
        </is>
      </c>
      <c r="C6" s="4" t="inlineStr">
        <is>
          <t>lead</t>
        </is>
      </c>
      <c r="D6" s="4" t="n">
        <v>2</v>
      </c>
      <c r="E6" s="4" t="n">
        <v>2.5</v>
      </c>
      <c r="F6" s="4" t="inlineStr">
        <is>
          <t>i</t>
        </is>
      </c>
      <c r="G6" s="4" t="inlineStr">
        <is>
          <t>Am</t>
        </is>
      </c>
      <c r="H6" s="4" t="inlineStr">
        <is>
          <t>T</t>
        </is>
      </c>
      <c r="I6" s="4" t="inlineStr">
        <is>
          <t>2</t>
        </is>
      </c>
      <c r="J6" s="4" t="inlineStr">
        <is>
          <t>B3</t>
        </is>
      </c>
      <c r="K6" s="4" t="n">
        <v>2</v>
      </c>
      <c r="L6" s="4">
        <f>IF(OR(C6&lt;&gt;C5,K6="",K5=""),"",K6-K5)</f>
        <v/>
      </c>
      <c r="M6" s="4">
        <f>IF(L6="","",IF(L6=0,"repeat",IF(ABS(L6)&lt;=2,"step","leap")))</f>
        <v/>
      </c>
      <c r="N6" s="4">
        <f>IF(F6&lt;&gt;F5,"Y","")</f>
        <v/>
      </c>
      <c r="O6" s="5" t="inlineStr">
        <is>
          <t>N</t>
        </is>
      </c>
      <c r="P6" s="5" t="inlineStr">
        <is>
          <t>u</t>
        </is>
      </c>
      <c r="Q6" s="5" t="inlineStr">
        <is>
          <t>open</t>
        </is>
      </c>
      <c r="R6" s="6" t="n"/>
      <c r="S6" s="4" t="n"/>
      <c r="T6" s="4" t="n"/>
      <c r="U6" s="7" t="inlineStr">
        <is>
          <t>'place'</t>
        </is>
      </c>
    </row>
    <row r="7">
      <c r="A7" s="4" t="inlineStr">
        <is>
          <t>verse</t>
        </is>
      </c>
      <c r="B7" s="4" t="inlineStr">
        <is>
          <t>v1</t>
        </is>
      </c>
      <c r="C7" s="4" t="inlineStr">
        <is>
          <t>lead</t>
        </is>
      </c>
      <c r="D7" s="4" t="n">
        <v>2</v>
      </c>
      <c r="E7" s="4" t="n">
        <v>3</v>
      </c>
      <c r="F7" s="4" t="inlineStr">
        <is>
          <t>i</t>
        </is>
      </c>
      <c r="G7" s="4" t="inlineStr">
        <is>
          <t>Am</t>
        </is>
      </c>
      <c r="H7" s="4" t="inlineStr">
        <is>
          <t>T</t>
        </is>
      </c>
      <c r="I7" s="4" t="inlineStr">
        <is>
          <t>1</t>
        </is>
      </c>
      <c r="J7" s="4" t="inlineStr">
        <is>
          <t>A3</t>
        </is>
      </c>
      <c r="K7" s="4" t="n">
        <v>0</v>
      </c>
      <c r="L7" s="4">
        <f>IF(OR(C7&lt;&gt;C6,K7="",K6=""),"",K7-K6)</f>
        <v/>
      </c>
      <c r="M7" s="4">
        <f>IF(L7="","",IF(L7=0,"repeat",IF(ABS(L7)&lt;=2,"step","leap")))</f>
        <v/>
      </c>
      <c r="N7" s="4">
        <f>IF(F7&lt;&gt;F6,"Y","")</f>
        <v/>
      </c>
      <c r="O7" s="5" t="inlineStr">
        <is>
          <t>Y</t>
        </is>
      </c>
      <c r="P7" s="5" t="inlineStr">
        <is>
          <t>S</t>
        </is>
      </c>
      <c r="Q7" s="5" t="inlineStr">
        <is>
          <t>open</t>
        </is>
      </c>
      <c r="R7" s="6" t="n"/>
      <c r="S7" s="4" t="n"/>
      <c r="T7" s="4" t="n"/>
      <c r="U7" s="7" t="inlineStr">
        <is>
          <t>'you can'</t>
        </is>
      </c>
    </row>
    <row r="8">
      <c r="A8" s="4" t="inlineStr">
        <is>
          <t>verse</t>
        </is>
      </c>
      <c r="B8" s="4" t="inlineStr">
        <is>
          <t>v1</t>
        </is>
      </c>
      <c r="C8" s="4" t="inlineStr">
        <is>
          <t>lead</t>
        </is>
      </c>
      <c r="D8" s="4" t="n">
        <v>3</v>
      </c>
      <c r="E8" s="4" t="n">
        <v>1</v>
      </c>
      <c r="F8" s="4" t="inlineStr">
        <is>
          <t>bvii7</t>
        </is>
      </c>
      <c r="G8" s="4" t="inlineStr">
        <is>
          <t>Gm7</t>
        </is>
      </c>
      <c r="H8" s="4" t="inlineStr">
        <is>
          <t>T</t>
        </is>
      </c>
      <c r="I8" s="4" t="inlineStr">
        <is>
          <t>b7</t>
        </is>
      </c>
      <c r="J8" s="4" t="inlineStr">
        <is>
          <t>G3</t>
        </is>
      </c>
      <c r="K8" s="4" t="n">
        <v>-2</v>
      </c>
      <c r="L8" s="4">
        <f>IF(OR(C8&lt;&gt;C7,K8="",K7=""),"",K8-K7)</f>
        <v/>
      </c>
      <c r="M8" s="4">
        <f>IF(L8="","",IF(L8=0,"repeat",IF(ABS(L8)&lt;=2,"step","leap")))</f>
        <v/>
      </c>
      <c r="N8" s="4">
        <f>IF(F8&lt;&gt;F7,"Y","")</f>
        <v/>
      </c>
      <c r="O8" s="5" t="inlineStr">
        <is>
          <t>Y</t>
        </is>
      </c>
      <c r="P8" s="5" t="inlineStr">
        <is>
          <t>S</t>
        </is>
      </c>
      <c r="Q8" s="5" t="inlineStr">
        <is>
          <t>open</t>
        </is>
      </c>
      <c r="R8" s="6" t="n"/>
      <c r="S8" s="4" t="n"/>
      <c r="T8" s="4" t="n"/>
      <c r="U8" s="7" t="inlineStr">
        <is>
          <t>chord change to bvii7 (Gm7); 'go' descends to b7 below tonic (APPROX)</t>
        </is>
      </c>
    </row>
    <row r="9">
      <c r="A9" s="4" t="inlineStr">
        <is>
          <t>refrain</t>
        </is>
      </c>
      <c r="B9" s="4" t="inlineStr">
        <is>
          <t>r1</t>
        </is>
      </c>
      <c r="C9" s="4" t="inlineStr">
        <is>
          <t>lead</t>
        </is>
      </c>
      <c r="D9" s="4" t="n">
        <v>1</v>
      </c>
      <c r="E9" s="4" t="n">
        <v>1</v>
      </c>
      <c r="F9" s="4" t="inlineStr">
        <is>
          <t>bvii7</t>
        </is>
      </c>
      <c r="G9" s="4" t="inlineStr">
        <is>
          <t>Gm7</t>
        </is>
      </c>
      <c r="H9" s="4" t="inlineStr">
        <is>
          <t>T</t>
        </is>
      </c>
      <c r="I9" s="4" t="inlineStr">
        <is>
          <t>4</t>
        </is>
      </c>
      <c r="J9" s="4" t="inlineStr">
        <is>
          <t>D4</t>
        </is>
      </c>
      <c r="K9" s="4" t="n">
        <v>5</v>
      </c>
      <c r="L9" s="4">
        <f>IF(OR(C9&lt;&gt;C8,K9="",K8=""),"",K9-K8)</f>
        <v/>
      </c>
      <c r="M9" s="4">
        <f>IF(L9="","",IF(L9=0,"repeat",IF(ABS(L9)&lt;=2,"step","leap")))</f>
        <v/>
      </c>
      <c r="N9" s="4">
        <f>IF(F9&lt;&gt;F8,"Y","")</f>
        <v/>
      </c>
      <c r="O9" s="5" t="inlineStr">
        <is>
          <t>N</t>
        </is>
      </c>
      <c r="P9" s="5" t="inlineStr">
        <is>
          <t>S</t>
        </is>
      </c>
      <c r="Q9" s="5" t="inlineStr">
        <is>
          <t>open</t>
        </is>
      </c>
      <c r="R9" s="6" t="n"/>
      <c r="S9" s="4" t="n"/>
      <c r="T9" s="4" t="n"/>
      <c r="U9" s="7" t="inlineStr">
        <is>
          <t>'eve-ry-thing flows' - the 'walrus was Paul' line; over bvii7</t>
        </is>
      </c>
    </row>
    <row r="10">
      <c r="A10" s="4" t="inlineStr">
        <is>
          <t>refrain</t>
        </is>
      </c>
      <c r="B10" s="4" t="inlineStr">
        <is>
          <t>r1</t>
        </is>
      </c>
      <c r="C10" s="4" t="inlineStr">
        <is>
          <t>lead</t>
        </is>
      </c>
      <c r="D10" s="4" t="n">
        <v>1</v>
      </c>
      <c r="E10" s="4" t="n">
        <v>2</v>
      </c>
      <c r="F10" s="4" t="inlineStr">
        <is>
          <t>bvii7</t>
        </is>
      </c>
      <c r="G10" s="4" t="inlineStr">
        <is>
          <t>Gm7</t>
        </is>
      </c>
      <c r="H10" s="4" t="inlineStr">
        <is>
          <t>T</t>
        </is>
      </c>
      <c r="I10" s="4" t="inlineStr">
        <is>
          <t>b3</t>
        </is>
      </c>
      <c r="J10" s="4" t="inlineStr">
        <is>
          <t>C4</t>
        </is>
      </c>
      <c r="K10" s="4" t="n">
        <v>3</v>
      </c>
      <c r="L10" s="4">
        <f>IF(OR(C10&lt;&gt;C9,K10="",K9=""),"",K10-K9)</f>
        <v/>
      </c>
      <c r="M10" s="4">
        <f>IF(L10="","",IF(L10=0,"repeat",IF(ABS(L10)&lt;=2,"step","leap")))</f>
        <v/>
      </c>
      <c r="N10" s="4">
        <f>IF(F10&lt;&gt;F9,"Y","")</f>
        <v/>
      </c>
      <c r="O10" s="5" t="inlineStr">
        <is>
          <t>Y</t>
        </is>
      </c>
      <c r="P10" s="5" t="inlineStr">
        <is>
          <t>u</t>
        </is>
      </c>
      <c r="Q10" s="5" t="inlineStr">
        <is>
          <t>open</t>
        </is>
      </c>
      <c r="R10" s="6" t="n"/>
      <c r="S10" s="4" t="n"/>
      <c r="T10" s="4" t="n"/>
      <c r="U10" s="7" t="inlineStr">
        <is>
          <t>descending</t>
        </is>
      </c>
    </row>
    <row r="11">
      <c r="A11" s="4" t="inlineStr">
        <is>
          <t>refrain</t>
        </is>
      </c>
      <c r="B11" s="4" t="inlineStr">
        <is>
          <t>r1</t>
        </is>
      </c>
      <c r="C11" s="4" t="inlineStr">
        <is>
          <t>lead</t>
        </is>
      </c>
      <c r="D11" s="4" t="n">
        <v>1</v>
      </c>
      <c r="E11" s="4" t="n">
        <v>3</v>
      </c>
      <c r="F11" s="4" t="inlineStr">
        <is>
          <t>bvii7</t>
        </is>
      </c>
      <c r="G11" s="4" t="inlineStr">
        <is>
          <t>Gm7</t>
        </is>
      </c>
      <c r="H11" s="4" t="inlineStr">
        <is>
          <t>T</t>
        </is>
      </c>
      <c r="I11" s="4" t="inlineStr">
        <is>
          <t>2</t>
        </is>
      </c>
      <c r="J11" s="4" t="inlineStr">
        <is>
          <t>B3</t>
        </is>
      </c>
      <c r="K11" s="4" t="n">
        <v>2</v>
      </c>
      <c r="L11" s="4">
        <f>IF(OR(C11&lt;&gt;C10,K11="",K10=""),"",K11-K10)</f>
        <v/>
      </c>
      <c r="M11" s="4">
        <f>IF(L11="","",IF(L11=0,"repeat",IF(ABS(L11)&lt;=2,"step","leap")))</f>
        <v/>
      </c>
      <c r="N11" s="4">
        <f>IF(F11&lt;&gt;F10,"Y","")</f>
        <v/>
      </c>
      <c r="O11" s="5" t="inlineStr">
        <is>
          <t>N</t>
        </is>
      </c>
      <c r="P11" s="5" t="inlineStr">
        <is>
          <t>S</t>
        </is>
      </c>
      <c r="Q11" s="5" t="inlineStr">
        <is>
          <t>open</t>
        </is>
      </c>
      <c r="R11" s="6" t="n"/>
      <c r="S11" s="4" t="n"/>
      <c r="T11" s="4" t="n"/>
      <c r="U11" s="7" t="inlineStr"/>
    </row>
    <row r="12">
      <c r="A12" s="4" t="inlineStr">
        <is>
          <t>refrain</t>
        </is>
      </c>
      <c r="B12" s="4" t="inlineStr">
        <is>
          <t>r2</t>
        </is>
      </c>
      <c r="C12" s="4" t="inlineStr">
        <is>
          <t>lead</t>
        </is>
      </c>
      <c r="D12" s="4" t="n">
        <v>2</v>
      </c>
      <c r="E12" s="4" t="n">
        <v>1</v>
      </c>
      <c r="F12" s="4" t="inlineStr">
        <is>
          <t>bIII</t>
        </is>
      </c>
      <c r="G12" s="4" t="inlineStr">
        <is>
          <t>C7</t>
        </is>
      </c>
      <c r="H12" s="4" t="inlineStr">
        <is>
          <t>T</t>
        </is>
      </c>
      <c r="I12" s="4" t="inlineStr">
        <is>
          <t>1</t>
        </is>
      </c>
      <c r="J12" s="4" t="inlineStr">
        <is>
          <t>A3</t>
        </is>
      </c>
      <c r="K12" s="4" t="n">
        <v>0</v>
      </c>
      <c r="L12" s="4">
        <f>IF(OR(C12&lt;&gt;C11,K12="",K11=""),"",K12-K11)</f>
        <v/>
      </c>
      <c r="M12" s="4">
        <f>IF(L12="","",IF(L12=0,"repeat",IF(ABS(L12)&lt;=2,"step","leap")))</f>
        <v/>
      </c>
      <c r="N12" s="4">
        <f>IF(F12&lt;&gt;F11,"Y","")</f>
        <v/>
      </c>
      <c r="O12" s="5" t="inlineStr">
        <is>
          <t>N</t>
        </is>
      </c>
      <c r="P12" s="5" t="inlineStr">
        <is>
          <t>S</t>
        </is>
      </c>
      <c r="Q12" s="5" t="inlineStr">
        <is>
          <t>open</t>
        </is>
      </c>
      <c r="R12" s="6" t="n"/>
      <c r="S12" s="4" t="n"/>
      <c r="T12" s="4" t="n"/>
      <c r="U12" s="7" t="inlineStr">
        <is>
          <t>chord change to bIII (C7); phrase settles on 1 (APPROX)</t>
        </is>
      </c>
    </row>
    <row r="13">
      <c r="A13" s="4" t="inlineStr">
        <is>
          <t>refrain</t>
        </is>
      </c>
      <c r="B13" s="4" t="inlineStr">
        <is>
          <t>r2</t>
        </is>
      </c>
      <c r="C13" s="4" t="inlineStr">
        <is>
          <t>lead</t>
        </is>
      </c>
      <c r="D13" s="4" t="n">
        <v>2</v>
      </c>
      <c r="E13" s="4" t="n">
        <v>2</v>
      </c>
      <c r="F13" s="4" t="inlineStr">
        <is>
          <t>bIII</t>
        </is>
      </c>
      <c r="G13" s="4" t="inlineStr">
        <is>
          <t>C7</t>
        </is>
      </c>
      <c r="H13" s="4" t="inlineStr">
        <is>
          <t>T</t>
        </is>
      </c>
      <c r="I13" s="4" t="inlineStr">
        <is>
          <t>b3</t>
        </is>
      </c>
      <c r="J13" s="4" t="inlineStr">
        <is>
          <t>C4</t>
        </is>
      </c>
      <c r="K13" s="4" t="n">
        <v>3</v>
      </c>
      <c r="L13" s="4">
        <f>IF(OR(C13&lt;&gt;C12,K13="",K12=""),"",K13-K12)</f>
        <v/>
      </c>
      <c r="M13" s="4">
        <f>IF(L13="","",IF(L13=0,"repeat",IF(ABS(L13)&lt;=2,"step","leap")))</f>
        <v/>
      </c>
      <c r="N13" s="4">
        <f>IF(F13&lt;&gt;F12,"Y","")</f>
        <v/>
      </c>
      <c r="O13" s="5" t="inlineStr">
        <is>
          <t>Y</t>
        </is>
      </c>
      <c r="P13" s="5" t="inlineStr">
        <is>
          <t>u</t>
        </is>
      </c>
      <c r="Q13" s="5" t="inlineStr">
        <is>
          <t>open</t>
        </is>
      </c>
      <c r="R13" s="6" t="n"/>
      <c r="S13" s="4" t="n"/>
      <c r="T13" s="4" t="n"/>
      <c r="U13" s="7" t="inlineStr">
        <is>
          <t>'Paul' lands on b3 = the root of C (bIII) - the flat-mediant home</t>
        </is>
      </c>
    </row>
    <row r="14">
      <c r="A14" s="4" t="inlineStr">
        <is>
          <t>bridge</t>
        </is>
      </c>
      <c r="B14" s="4" t="inlineStr">
        <is>
          <t>b1</t>
        </is>
      </c>
      <c r="C14" s="4" t="inlineStr">
        <is>
          <t>lead</t>
        </is>
      </c>
      <c r="D14" s="4" t="n">
        <v>1</v>
      </c>
      <c r="E14" s="4" t="n">
        <v>1</v>
      </c>
      <c r="F14" s="4" t="inlineStr">
        <is>
          <t>bVI7</t>
        </is>
      </c>
      <c r="G14" s="4" t="inlineStr">
        <is>
          <t>F7</t>
        </is>
      </c>
      <c r="H14" s="4" t="inlineStr">
        <is>
          <t>T</t>
        </is>
      </c>
      <c r="I14" s="4" t="inlineStr">
        <is>
          <t>4</t>
        </is>
      </c>
      <c r="J14" s="4" t="inlineStr">
        <is>
          <t>D4</t>
        </is>
      </c>
      <c r="K14" s="4" t="n">
        <v>5</v>
      </c>
      <c r="L14" s="4">
        <f>IF(OR(C14&lt;&gt;C13,K14="",K13=""),"",K14-K13)</f>
        <v/>
      </c>
      <c r="M14" s="4">
        <f>IF(L14="","",IF(L14=0,"repeat",IF(ABS(L14)&lt;=2,"step","leap")))</f>
        <v/>
      </c>
      <c r="N14" s="4">
        <f>IF(F14&lt;&gt;F13,"Y","")</f>
        <v/>
      </c>
      <c r="O14" s="5" t="inlineStr">
        <is>
          <t>N</t>
        </is>
      </c>
      <c r="P14" s="5" t="inlineStr">
        <is>
          <t>S</t>
        </is>
      </c>
      <c r="Q14" s="5" t="inlineStr">
        <is>
          <t>open</t>
        </is>
      </c>
      <c r="R14" s="6" t="n"/>
      <c r="S14" s="4" t="n"/>
      <c r="T14" s="4" t="n"/>
      <c r="U14" s="7" t="inlineStr">
        <is>
          <t>'Look-ing' - the tulips hook; melody climbs</t>
        </is>
      </c>
    </row>
    <row r="15">
      <c r="A15" s="4" t="inlineStr">
        <is>
          <t>bridge</t>
        </is>
      </c>
      <c r="B15" s="4" t="inlineStr">
        <is>
          <t>b1</t>
        </is>
      </c>
      <c r="C15" s="4" t="inlineStr">
        <is>
          <t>lead</t>
        </is>
      </c>
      <c r="D15" s="4" t="n">
        <v>1</v>
      </c>
      <c r="E15" s="4" t="n">
        <v>2</v>
      </c>
      <c r="F15" s="4" t="inlineStr">
        <is>
          <t>bVI7</t>
        </is>
      </c>
      <c r="G15" s="4" t="inlineStr">
        <is>
          <t>F7</t>
        </is>
      </c>
      <c r="H15" s="4" t="inlineStr">
        <is>
          <t>T</t>
        </is>
      </c>
      <c r="I15" s="4" t="inlineStr">
        <is>
          <t>b3</t>
        </is>
      </c>
      <c r="J15" s="4" t="inlineStr">
        <is>
          <t>C4</t>
        </is>
      </c>
      <c r="K15" s="4" t="n">
        <v>3</v>
      </c>
      <c r="L15" s="4">
        <f>IF(OR(C15&lt;&gt;C14,K15="",K14=""),"",K15-K14)</f>
        <v/>
      </c>
      <c r="M15" s="4">
        <f>IF(L15="","",IF(L15=0,"repeat",IF(ABS(L15)&lt;=2,"step","leap")))</f>
        <v/>
      </c>
      <c r="N15" s="4">
        <f>IF(F15&lt;&gt;F14,"Y","")</f>
        <v/>
      </c>
      <c r="O15" s="5" t="inlineStr">
        <is>
          <t>Y</t>
        </is>
      </c>
      <c r="P15" s="5" t="inlineStr">
        <is>
          <t>u</t>
        </is>
      </c>
      <c r="Q15" s="5" t="inlineStr">
        <is>
          <t>open</t>
        </is>
      </c>
      <c r="R15" s="6" t="n"/>
      <c r="S15" s="4" t="n"/>
      <c r="T15" s="4" t="n"/>
      <c r="U15" s="7" t="inlineStr">
        <is>
          <t>'through the'</t>
        </is>
      </c>
    </row>
    <row r="16">
      <c r="A16" s="4" t="inlineStr">
        <is>
          <t>bridge</t>
        </is>
      </c>
      <c r="B16" s="4" t="inlineStr">
        <is>
          <t>b1</t>
        </is>
      </c>
      <c r="C16" s="4" t="inlineStr">
        <is>
          <t>lead</t>
        </is>
      </c>
      <c r="D16" s="4" t="n">
        <v>1</v>
      </c>
      <c r="E16" s="4" t="n">
        <v>3</v>
      </c>
      <c r="F16" s="4" t="inlineStr">
        <is>
          <t>bVI7</t>
        </is>
      </c>
      <c r="G16" s="4" t="inlineStr">
        <is>
          <t>F7</t>
        </is>
      </c>
      <c r="H16" s="4" t="inlineStr">
        <is>
          <t>T</t>
        </is>
      </c>
      <c r="I16" s="4" t="inlineStr">
        <is>
          <t>5</t>
        </is>
      </c>
      <c r="J16" s="4" t="inlineStr">
        <is>
          <t>E4</t>
        </is>
      </c>
      <c r="K16" s="4" t="n">
        <v>7</v>
      </c>
      <c r="L16" s="4">
        <f>IF(OR(C16&lt;&gt;C15,K16="",K15=""),"",K16-K15)</f>
        <v/>
      </c>
      <c r="M16" s="4">
        <f>IF(L16="","",IF(L16=0,"repeat",IF(ABS(L16)&lt;=2,"step","leap")))</f>
        <v/>
      </c>
      <c r="N16" s="4">
        <f>IF(F16&lt;&gt;F15,"Y","")</f>
        <v/>
      </c>
      <c r="O16" s="5" t="inlineStr">
        <is>
          <t>N</t>
        </is>
      </c>
      <c r="P16" s="5" t="inlineStr">
        <is>
          <t>S</t>
        </is>
      </c>
      <c r="Q16" s="5" t="inlineStr">
        <is>
          <t>open</t>
        </is>
      </c>
      <c r="R16" s="6" t="n"/>
      <c r="S16" s="4" t="n"/>
      <c r="T16" s="4" t="n"/>
      <c r="U16" s="7" t="inlineStr">
        <is>
          <t>'bent backed' rising (APPROX)</t>
        </is>
      </c>
    </row>
    <row r="17">
      <c r="A17" s="4" t="inlineStr">
        <is>
          <t>bridge</t>
        </is>
      </c>
      <c r="B17" s="4" t="inlineStr">
        <is>
          <t>b1</t>
        </is>
      </c>
      <c r="C17" s="4" t="inlineStr">
        <is>
          <t>lead</t>
        </is>
      </c>
      <c r="D17" s="4" t="n">
        <v>2</v>
      </c>
      <c r="E17" s="4" t="n">
        <v>1</v>
      </c>
      <c r="F17" s="4" t="inlineStr">
        <is>
          <t>bVI7</t>
        </is>
      </c>
      <c r="G17" s="4" t="inlineStr">
        <is>
          <t>F7</t>
        </is>
      </c>
      <c r="H17" s="4" t="inlineStr">
        <is>
          <t>T</t>
        </is>
      </c>
      <c r="I17" s="4" t="inlineStr">
        <is>
          <t>b6</t>
        </is>
      </c>
      <c r="J17" s="4" t="inlineStr">
        <is>
          <t>F4</t>
        </is>
      </c>
      <c r="K17" s="4" t="n">
        <v>8</v>
      </c>
      <c r="L17" s="4">
        <f>IF(OR(C17&lt;&gt;C16,K17="",K16=""),"",K17-K16)</f>
        <v/>
      </c>
      <c r="M17" s="4">
        <f>IF(L17="","",IF(L17=0,"repeat",IF(ABS(L17)&lt;=2,"step","leap")))</f>
        <v/>
      </c>
      <c r="N17" s="4">
        <f>IF(F17&lt;&gt;F16,"Y","")</f>
        <v/>
      </c>
      <c r="O17" s="5" t="inlineStr">
        <is>
          <t>Y</t>
        </is>
      </c>
      <c r="P17" s="5" t="inlineStr">
        <is>
          <t>S</t>
        </is>
      </c>
      <c r="Q17" s="5" t="inlineStr">
        <is>
          <t>open</t>
        </is>
      </c>
      <c r="R17" s="6" t="n"/>
      <c r="S17" s="4" t="n"/>
      <c r="T17" s="4" t="n"/>
      <c r="U17" s="7" t="inlineStr">
        <is>
          <t>'tu-' peak on b6 = root of F7 (bVI) - top of the phrase</t>
        </is>
      </c>
    </row>
    <row r="18">
      <c r="A18" s="4" t="inlineStr">
        <is>
          <t>bridge</t>
        </is>
      </c>
      <c r="B18" s="4" t="inlineStr">
        <is>
          <t>b1</t>
        </is>
      </c>
      <c r="C18" s="4" t="inlineStr">
        <is>
          <t>lead</t>
        </is>
      </c>
      <c r="D18" s="4" t="n">
        <v>2</v>
      </c>
      <c r="E18" s="4" t="n">
        <v>2</v>
      </c>
      <c r="F18" s="4" t="inlineStr">
        <is>
          <t>bVI7</t>
        </is>
      </c>
      <c r="G18" s="4" t="inlineStr">
        <is>
          <t>F7</t>
        </is>
      </c>
      <c r="H18" s="4" t="inlineStr">
        <is>
          <t>T</t>
        </is>
      </c>
      <c r="I18" s="4" t="inlineStr">
        <is>
          <t>5</t>
        </is>
      </c>
      <c r="J18" s="4" t="inlineStr">
        <is>
          <t>E4</t>
        </is>
      </c>
      <c r="K18" s="4" t="n">
        <v>7</v>
      </c>
      <c r="L18" s="4">
        <f>IF(OR(C18&lt;&gt;C17,K18="",K17=""),"",K18-K17)</f>
        <v/>
      </c>
      <c r="M18" s="4">
        <f>IF(L18="","",IF(L18=0,"repeat",IF(ABS(L18)&lt;=2,"step","leap")))</f>
        <v/>
      </c>
      <c r="N18" s="4">
        <f>IF(F18&lt;&gt;F17,"Y","")</f>
        <v/>
      </c>
      <c r="O18" s="5" t="inlineStr">
        <is>
          <t>N</t>
        </is>
      </c>
      <c r="P18" s="5" t="inlineStr">
        <is>
          <t>u</t>
        </is>
      </c>
      <c r="Q18" s="5" t="inlineStr">
        <is>
          <t>open</t>
        </is>
      </c>
      <c r="R18" s="6" t="n"/>
      <c r="S18" s="4" t="n"/>
      <c r="T18" s="4" t="n"/>
      <c r="U18" s="7" t="inlineStr">
        <is>
          <t>'-lips' falls back</t>
        </is>
      </c>
    </row>
    <row r="19">
      <c r="A19" s="4" t="inlineStr">
        <is>
          <t>bridge</t>
        </is>
      </c>
      <c r="B19" s="4" t="inlineStr">
        <is>
          <t>b2</t>
        </is>
      </c>
      <c r="C19" s="4" t="inlineStr">
        <is>
          <t>lead</t>
        </is>
      </c>
      <c r="D19" s="4" t="n">
        <v>3</v>
      </c>
      <c r="E19" s="4" t="n">
        <v>1</v>
      </c>
      <c r="F19" s="4" t="inlineStr">
        <is>
          <t>IV7</t>
        </is>
      </c>
      <c r="G19" s="4" t="inlineStr">
        <is>
          <t>D7</t>
        </is>
      </c>
      <c r="H19" s="4" t="inlineStr">
        <is>
          <t>PD</t>
        </is>
      </c>
      <c r="I19" s="4" t="inlineStr">
        <is>
          <t>6</t>
        </is>
      </c>
      <c r="J19" s="4" t="inlineStr">
        <is>
          <t>F#4</t>
        </is>
      </c>
      <c r="K19" s="4" t="n">
        <v>9</v>
      </c>
      <c r="L19" s="4">
        <f>IF(OR(C19&lt;&gt;C18,K19="",K18=""),"",K19-K18)</f>
        <v/>
      </c>
      <c r="M19" s="4">
        <f>IF(L19="","",IF(L19=0,"repeat",IF(ABS(L19)&lt;=2,"step","leap")))</f>
        <v/>
      </c>
      <c r="N19" s="4">
        <f>IF(F19&lt;&gt;F18,"Y","")</f>
        <v/>
      </c>
      <c r="O19" s="5" t="inlineStr">
        <is>
          <t>Y</t>
        </is>
      </c>
      <c r="P19" s="5" t="inlineStr">
        <is>
          <t>S</t>
        </is>
      </c>
      <c r="Q19" s="5" t="inlineStr">
        <is>
          <t>open</t>
        </is>
      </c>
      <c r="R19" s="6" t="n"/>
      <c r="S19" s="4" t="n"/>
      <c r="T19" s="4" t="n"/>
      <c r="U19" s="7" t="inlineStr">
        <is>
          <t>chord change to IV7 (D7); 'seeing how' - the RAISED 6 (F#, dorian brightness) as D7's 3rd - a rare bright note in this dark song</t>
        </is>
      </c>
    </row>
    <row r="20">
      <c r="A20" s="4" t="inlineStr">
        <is>
          <t>bridge</t>
        </is>
      </c>
      <c r="B20" s="4" t="inlineStr">
        <is>
          <t>b2</t>
        </is>
      </c>
      <c r="C20" s="4" t="inlineStr">
        <is>
          <t>lead</t>
        </is>
      </c>
      <c r="D20" s="4" t="n">
        <v>3</v>
      </c>
      <c r="E20" s="4" t="n">
        <v>2</v>
      </c>
      <c r="F20" s="4" t="inlineStr">
        <is>
          <t>IV7</t>
        </is>
      </c>
      <c r="G20" s="4" t="inlineStr">
        <is>
          <t>D7</t>
        </is>
      </c>
      <c r="H20" s="4" t="inlineStr">
        <is>
          <t>PD</t>
        </is>
      </c>
      <c r="I20" s="4" t="inlineStr">
        <is>
          <t>5</t>
        </is>
      </c>
      <c r="J20" s="4" t="inlineStr">
        <is>
          <t>E4</t>
        </is>
      </c>
      <c r="K20" s="4" t="n">
        <v>7</v>
      </c>
      <c r="L20" s="4">
        <f>IF(OR(C20&lt;&gt;C19,K20="",K19=""),"",K20-K19)</f>
        <v/>
      </c>
      <c r="M20" s="4">
        <f>IF(L20="","",IF(L20=0,"repeat",IF(ABS(L20)&lt;=2,"step","leap")))</f>
        <v/>
      </c>
      <c r="N20" s="4">
        <f>IF(F20&lt;&gt;F19,"Y","")</f>
        <v/>
      </c>
      <c r="O20" s="5" t="inlineStr">
        <is>
          <t>N</t>
        </is>
      </c>
      <c r="P20" s="5" t="inlineStr">
        <is>
          <t>u</t>
        </is>
      </c>
      <c r="Q20" s="5" t="inlineStr">
        <is>
          <t>open</t>
        </is>
      </c>
      <c r="R20" s="6" t="n"/>
      <c r="S20" s="4" t="n"/>
      <c r="T20" s="4" t="n"/>
      <c r="U20" s="7" t="inlineStr">
        <is>
          <t>descending; 'the other half live' (APPROX)</t>
        </is>
      </c>
    </row>
    <row r="21">
      <c r="A21" s="4" t="inlineStr">
        <is>
          <t>bridge</t>
        </is>
      </c>
      <c r="B21" s="4" t="inlineStr">
        <is>
          <t>b2</t>
        </is>
      </c>
      <c r="C21" s="4" t="inlineStr">
        <is>
          <t>lead</t>
        </is>
      </c>
      <c r="D21" s="4" t="n">
        <v>4</v>
      </c>
      <c r="E21" s="4" t="n">
        <v>1</v>
      </c>
      <c r="F21" s="4" t="inlineStr">
        <is>
          <t>bVII</t>
        </is>
      </c>
      <c r="G21" s="4" t="inlineStr">
        <is>
          <t>G</t>
        </is>
      </c>
      <c r="H21" s="4" t="inlineStr">
        <is>
          <t>D</t>
        </is>
      </c>
      <c r="I21" s="4" t="inlineStr">
        <is>
          <t>b7</t>
        </is>
      </c>
      <c r="J21" s="4" t="inlineStr">
        <is>
          <t>G4</t>
        </is>
      </c>
      <c r="K21" s="4" t="n">
        <v>10</v>
      </c>
      <c r="L21" s="4">
        <f>IF(OR(C21&lt;&gt;C20,K21="",K20=""),"",K21-K20)</f>
        <v/>
      </c>
      <c r="M21" s="4">
        <f>IF(L21="","",IF(L21=0,"repeat",IF(ABS(L21)&lt;=2,"step","leap")))</f>
        <v/>
      </c>
      <c r="N21" s="4">
        <f>IF(F21&lt;&gt;F20,"Y","")</f>
        <v/>
      </c>
      <c r="O21" s="5" t="inlineStr">
        <is>
          <t>Y</t>
        </is>
      </c>
      <c r="P21" s="5" t="inlineStr">
        <is>
          <t>S</t>
        </is>
      </c>
      <c r="Q21" s="5" t="inlineStr">
        <is>
          <t>open</t>
        </is>
      </c>
      <c r="R21" s="6" t="n"/>
      <c r="S21" s="4" t="n"/>
      <c r="T21" s="4" t="n"/>
      <c r="U21" s="7" t="inlineStr">
        <is>
          <t>turnaround bVII (G, the dominant-function chord) back to verse</t>
        </is>
      </c>
    </row>
    <row r="22">
      <c r="A22" s="4" t="inlineStr">
        <is>
          <t>outro</t>
        </is>
      </c>
      <c r="B22" s="4" t="inlineStr">
        <is>
          <t>instr</t>
        </is>
      </c>
      <c r="C22" s="4" t="inlineStr">
        <is>
          <t>none</t>
        </is>
      </c>
      <c r="D22" s="4" t="n">
        <v>1</v>
      </c>
      <c r="E22" s="4" t="n">
        <v>1</v>
      </c>
      <c r="F22" s="4" t="inlineStr">
        <is>
          <t>bVI7(b9)</t>
        </is>
      </c>
      <c r="G22" s="4" t="inlineStr">
        <is>
          <t>F7b9</t>
        </is>
      </c>
      <c r="H22" s="4" t="inlineStr">
        <is>
          <t>D</t>
        </is>
      </c>
      <c r="I22" s="4" t="inlineStr"/>
      <c r="J22" s="4" t="inlineStr"/>
      <c r="K22" s="4" t="inlineStr"/>
      <c r="L22" s="4">
        <f>IF(OR(C22&lt;&gt;C21,K22="",K21=""),"",K22-K21)</f>
        <v/>
      </c>
      <c r="M22" s="4">
        <f>IF(L22="","",IF(L22=0,"repeat",IF(ABS(L22)&lt;=2,"step","leap")))</f>
        <v/>
      </c>
      <c r="N22" s="4">
        <f>IF(F22&lt;&gt;F21,"Y","")</f>
        <v/>
      </c>
      <c r="O22" s="5" t="n"/>
      <c r="P22" s="5" t="inlineStr"/>
      <c r="Q22" s="5" t="inlineStr"/>
      <c r="R22" s="6" t="n"/>
      <c r="S22" s="4" t="n"/>
      <c r="T22" s="4" t="n"/>
      <c r="U22" s="7" t="inlineStr">
        <is>
          <t>instrumental chromatic descending-diminished outro (bVI7b9 -&gt; chain of dim7 chords); vocal tacet / wordless 'oh yeah' - no pitched lead line to transcribe</t>
        </is>
      </c>
    </row>
  </sheetData>
  <autoFilter ref="A1:U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2026-07-12T20:15:01Z</dcterms:created>
  <dcterms:modified xsi:type="dcterms:W3CDTF">2026-07-12T20:15:01Z</dcterms:modified>
</cp:coreProperties>
</file>